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vsp-my.sharepoint.com/personal/julien_pirson_be_coopervision_com/Documents/Files/Projets/Planning Packing/"/>
    </mc:Choice>
  </mc:AlternateContent>
  <xr:revisionPtr revIDLastSave="138114" documentId="8_{C120D495-9741-4ABF-98A1-1F421FF1C0B5}" xr6:coauthVersionLast="47" xr6:coauthVersionMax="47" xr10:uidLastSave="{A93289FE-8A63-4FFD-806D-3801923E0BFE}"/>
  <bookViews>
    <workbookView xWindow="-120" yWindow="-120" windowWidth="29040" windowHeight="15720" activeTab="1" xr2:uid="{02541E11-B583-4439-8904-93D67D1DE3A9}"/>
  </bookViews>
  <sheets>
    <sheet name="Import" sheetId="1" r:id="rId1"/>
    <sheet name="Création" sheetId="2" r:id="rId2"/>
    <sheet name="Planning SO" sheetId="3" r:id="rId3"/>
    <sheet name="Planning LO" sheetId="15" r:id="rId4"/>
    <sheet name="Plan AM + Day" sheetId="6" r:id="rId5"/>
    <sheet name="Plan PM" sheetId="7" r:id="rId6"/>
    <sheet name="Technical" sheetId="8" r:id="rId7"/>
    <sheet name="Historique" sheetId="5" r:id="rId8"/>
    <sheet name="Formule AM + Day" sheetId="9" r:id="rId9"/>
    <sheet name="Formule PM" sheetId="10" r:id="rId10"/>
    <sheet name="Sheet7" sheetId="11" r:id="rId11"/>
  </sheets>
  <functionGroups builtInGroupCount="19"/>
  <definedNames>
    <definedName name="_xlnm._FilterDatabase" localSheetId="8" hidden="1">'Formule AM + Day'!$F$2:$H$46</definedName>
    <definedName name="chkMixZones">Création!$N$10</definedName>
    <definedName name="chkShowNames">Création!$N$13</definedName>
  </definedNames>
  <calcPr calcId="191029"/>
  <pivotCaches>
    <pivotCache cacheId="28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9" i="7" l="1"/>
  <c r="Q18" i="7"/>
  <c r="Q27" i="7"/>
  <c r="Q37" i="6"/>
  <c r="Q36" i="6"/>
  <c r="I16" i="6"/>
  <c r="I17" i="6"/>
  <c r="Q32" i="6"/>
  <c r="I18" i="6"/>
  <c r="I19" i="6"/>
  <c r="Q20" i="6"/>
  <c r="T39" i="6"/>
  <c r="I21" i="6"/>
  <c r="T37" i="6"/>
  <c r="T35" i="6"/>
  <c r="I22" i="6"/>
  <c r="T33" i="6"/>
  <c r="Q24" i="6"/>
  <c r="D14" i="6"/>
  <c r="T32" i="6"/>
  <c r="T31" i="6"/>
  <c r="D16" i="6"/>
  <c r="I25" i="6"/>
  <c r="T29" i="6"/>
  <c r="D18" i="6"/>
  <c r="T28" i="6"/>
  <c r="T27" i="6"/>
  <c r="D20" i="6"/>
  <c r="T26" i="6"/>
  <c r="D22" i="6"/>
  <c r="T24" i="6"/>
  <c r="T23" i="6"/>
  <c r="D24" i="6"/>
  <c r="T22" i="6"/>
  <c r="I29" i="6"/>
  <c r="T21" i="6"/>
  <c r="D26" i="6"/>
  <c r="T20" i="6"/>
  <c r="T19" i="6"/>
  <c r="I30" i="6"/>
  <c r="U18" i="8"/>
  <c r="W91" i="7"/>
  <c r="W90" i="7"/>
  <c r="W89" i="7"/>
  <c r="W88" i="7"/>
  <c r="W87" i="7"/>
  <c r="W86" i="7"/>
  <c r="W85" i="7"/>
  <c r="W82" i="7"/>
  <c r="W81" i="7"/>
  <c r="W80" i="7"/>
  <c r="W79" i="7"/>
  <c r="W78" i="7"/>
  <c r="W77" i="7"/>
  <c r="W76" i="7"/>
  <c r="W75" i="7"/>
  <c r="W74" i="7"/>
  <c r="W73" i="7"/>
  <c r="W72" i="7"/>
  <c r="W71" i="7"/>
  <c r="W70" i="7"/>
  <c r="W69" i="7"/>
  <c r="W68" i="7"/>
  <c r="W67" i="7"/>
  <c r="W66" i="7"/>
  <c r="W65" i="7"/>
  <c r="W64" i="7"/>
  <c r="W63" i="7"/>
  <c r="W62" i="7"/>
  <c r="W61" i="7"/>
  <c r="W60" i="7"/>
  <c r="W59" i="7"/>
  <c r="W58" i="7"/>
  <c r="W57" i="7"/>
  <c r="W56" i="7"/>
  <c r="W55" i="7"/>
  <c r="W54" i="7"/>
  <c r="W53" i="7"/>
  <c r="W52" i="7"/>
  <c r="W51" i="7"/>
  <c r="W50" i="7"/>
  <c r="W49" i="7"/>
  <c r="W48" i="7"/>
  <c r="W47" i="7"/>
  <c r="W46" i="7"/>
  <c r="W45" i="7"/>
  <c r="W44" i="7"/>
  <c r="W43" i="7"/>
  <c r="W42" i="7"/>
  <c r="W41" i="7"/>
  <c r="W40" i="7"/>
  <c r="W39" i="7"/>
  <c r="W38" i="7"/>
  <c r="W37" i="7"/>
  <c r="W36" i="7"/>
  <c r="W35" i="7"/>
  <c r="T35" i="7"/>
  <c r="W34" i="7"/>
  <c r="T34" i="7"/>
  <c r="W33" i="7"/>
  <c r="W32" i="7"/>
  <c r="W31" i="7"/>
  <c r="T31" i="7"/>
  <c r="W30" i="7"/>
  <c r="W29" i="7"/>
  <c r="W28" i="7"/>
  <c r="W27" i="7"/>
  <c r="W26" i="7"/>
  <c r="W25" i="7"/>
  <c r="W24" i="7"/>
  <c r="W23" i="7"/>
  <c r="W22" i="7"/>
  <c r="Q22" i="7"/>
  <c r="D22" i="7"/>
  <c r="W21" i="7"/>
  <c r="T21" i="7"/>
  <c r="W20" i="7"/>
  <c r="W19" i="7"/>
  <c r="W18" i="7"/>
  <c r="W17" i="7"/>
  <c r="W16" i="7"/>
  <c r="W15" i="7"/>
  <c r="W14" i="7"/>
  <c r="W13" i="7"/>
  <c r="W12" i="7"/>
  <c r="W11" i="7"/>
  <c r="W10" i="7"/>
  <c r="W9" i="7"/>
  <c r="W8" i="7"/>
  <c r="W7" i="7"/>
  <c r="W6" i="7"/>
  <c r="W5" i="7"/>
  <c r="W4" i="7"/>
  <c r="W3" i="7"/>
  <c r="W2" i="7"/>
  <c r="P2" i="7"/>
  <c r="W91" i="6"/>
  <c r="W90" i="6"/>
  <c r="W89" i="6"/>
  <c r="W88" i="6"/>
  <c r="W87" i="6"/>
  <c r="W86" i="6"/>
  <c r="W85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Q39" i="6"/>
  <c r="W38" i="6"/>
  <c r="T38" i="6"/>
  <c r="Q38" i="6"/>
  <c r="W37" i="6"/>
  <c r="W36" i="6"/>
  <c r="T36" i="6"/>
  <c r="W35" i="6"/>
  <c r="Q35" i="6"/>
  <c r="W34" i="6"/>
  <c r="T34" i="6"/>
  <c r="Q34" i="6"/>
  <c r="W33" i="6"/>
  <c r="Q33" i="6"/>
  <c r="W32" i="6"/>
  <c r="W31" i="6"/>
  <c r="Q31" i="6"/>
  <c r="I31" i="6"/>
  <c r="W30" i="6"/>
  <c r="T30" i="6"/>
  <c r="Q30" i="6"/>
  <c r="W29" i="6"/>
  <c r="Q29" i="6"/>
  <c r="D29" i="6"/>
  <c r="W28" i="6"/>
  <c r="Q28" i="6"/>
  <c r="I28" i="6"/>
  <c r="D28" i="6"/>
  <c r="W27" i="6"/>
  <c r="Q27" i="6"/>
  <c r="I27" i="6"/>
  <c r="D27" i="6"/>
  <c r="W26" i="6"/>
  <c r="Q26" i="6"/>
  <c r="I26" i="6"/>
  <c r="W25" i="6"/>
  <c r="T25" i="6"/>
  <c r="Q25" i="6"/>
  <c r="D25" i="6"/>
  <c r="W24" i="6"/>
  <c r="I24" i="6"/>
  <c r="W23" i="6"/>
  <c r="Q23" i="6"/>
  <c r="I23" i="6"/>
  <c r="D23" i="6"/>
  <c r="W22" i="6"/>
  <c r="Q22" i="6"/>
  <c r="W21" i="6"/>
  <c r="Q21" i="6"/>
  <c r="D21" i="6"/>
  <c r="W20" i="6"/>
  <c r="I20" i="6"/>
  <c r="W19" i="6"/>
  <c r="Q19" i="6"/>
  <c r="D19" i="6"/>
  <c r="W18" i="6"/>
  <c r="T18" i="6"/>
  <c r="Q18" i="6"/>
  <c r="W17" i="6"/>
  <c r="D17" i="6"/>
  <c r="W16" i="6"/>
  <c r="W15" i="6"/>
  <c r="I15" i="6"/>
  <c r="D15" i="6"/>
  <c r="W14" i="6"/>
  <c r="I14" i="6"/>
  <c r="W13" i="6"/>
  <c r="W12" i="6"/>
  <c r="W11" i="6"/>
  <c r="W10" i="6"/>
  <c r="W9" i="6"/>
  <c r="W8" i="6"/>
  <c r="W7" i="6"/>
  <c r="W6" i="6"/>
  <c r="W5" i="6"/>
  <c r="W4" i="6"/>
  <c r="W3" i="6"/>
  <c r="W2" i="6"/>
  <c r="P2" i="6"/>
  <c r="T38" i="7" l="1"/>
  <c r="T32" i="7"/>
  <c r="T30" i="7"/>
  <c r="T28" i="7"/>
  <c r="T26" i="7"/>
  <c r="T24" i="7"/>
  <c r="T22" i="7"/>
  <c r="T20" i="7"/>
  <c r="T18" i="7"/>
  <c r="T37" i="7"/>
  <c r="T39" i="7"/>
  <c r="T33" i="7"/>
  <c r="T29" i="7"/>
  <c r="T27" i="7"/>
  <c r="T23" i="7"/>
  <c r="T36" i="7"/>
  <c r="T25" i="7"/>
  <c r="T19" i="7"/>
  <c r="D14" i="7" l="1"/>
  <c r="D16" i="7"/>
  <c r="D18" i="7"/>
  <c r="D20" i="7"/>
  <c r="D24" i="7"/>
  <c r="D26" i="7"/>
  <c r="D28" i="7"/>
  <c r="D15" i="7"/>
  <c r="D17" i="7"/>
  <c r="D19" i="7"/>
  <c r="D21" i="7"/>
  <c r="D23" i="7"/>
  <c r="D25" i="7"/>
  <c r="D27" i="7"/>
  <c r="D29" i="7"/>
  <c r="Q33" i="7" l="1"/>
  <c r="Q25" i="7"/>
  <c r="Q29" i="7"/>
  <c r="Q30" i="7"/>
  <c r="Q36" i="7"/>
  <c r="I17" i="7"/>
  <c r="I19" i="7"/>
  <c r="I21" i="7"/>
  <c r="I22" i="7"/>
  <c r="Q20" i="7"/>
  <c r="I27" i="7"/>
  <c r="Q31" i="7"/>
  <c r="I31" i="7"/>
  <c r="Q28" i="7"/>
  <c r="I14" i="7"/>
  <c r="I25" i="7"/>
  <c r="I29" i="7"/>
  <c r="I28" i="7"/>
  <c r="Q32" i="7"/>
  <c r="Q21" i="7"/>
  <c r="I23" i="7"/>
  <c r="I30" i="7"/>
  <c r="Q35" i="7"/>
  <c r="Q34" i="7"/>
  <c r="Q19" i="7"/>
  <c r="I20" i="7"/>
  <c r="Q23" i="7"/>
  <c r="Q24" i="7"/>
  <c r="I24" i="7"/>
  <c r="Q26" i="7"/>
  <c r="I26" i="7"/>
  <c r="Q37" i="7"/>
  <c r="Q38" i="7"/>
  <c r="I15" i="7"/>
  <c r="I18" i="7"/>
  <c r="I16" i="7"/>
  <c r="AB18" i="2" l="1"/>
  <c r="AB12" i="2"/>
  <c r="AB4" i="2" l="1"/>
  <c r="K7" i="2" s="1"/>
  <c r="AB6" i="2"/>
  <c r="K12" i="2" s="1"/>
  <c r="AC15" i="2"/>
  <c r="L15" i="2" s="1"/>
  <c r="AB15" i="2"/>
  <c r="K15" i="2" s="1"/>
  <c r="AC10" i="2"/>
  <c r="L11" i="2" s="1"/>
  <c r="AB10" i="2"/>
  <c r="K11" i="2" s="1"/>
  <c r="AC8" i="2"/>
  <c r="L6" i="2" s="1"/>
  <c r="AB8" i="2"/>
  <c r="K6" i="2" s="1"/>
  <c r="K17" i="2"/>
  <c r="K16" i="2"/>
  <c r="AB14" i="2"/>
  <c r="AB13" i="2"/>
  <c r="AB11" i="2"/>
  <c r="AB7" i="2"/>
  <c r="K13" i="2" s="1"/>
  <c r="AB5" i="2"/>
  <c r="K8" i="2" s="1"/>
  <c r="AC3" i="2" a="1"/>
  <c r="AC3" i="2" s="1"/>
  <c r="AB3" i="2" a="1"/>
  <c r="AB3" i="2" s="1"/>
  <c r="AC2" i="2"/>
  <c r="AB2" i="2"/>
  <c r="B8" i="2" l="1"/>
  <c r="C8" i="2" s="1"/>
  <c r="E8" i="2" s="1"/>
  <c r="B20" i="2"/>
  <c r="C20" i="2"/>
  <c r="F8" i="2"/>
  <c r="G8" i="2"/>
  <c r="K9" i="2" l="1"/>
  <c r="L4" i="2"/>
  <c r="K4" i="2"/>
  <c r="K3" i="2"/>
  <c r="L3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<sst xmlns="http://schemas.openxmlformats.org/spreadsheetml/2006/main" count="7715" uniqueCount="752">
  <si>
    <t>Name</t>
  </si>
  <si>
    <t>Date</t>
  </si>
  <si>
    <t>Absences Durée</t>
  </si>
  <si>
    <t>Absence Code</t>
  </si>
  <si>
    <t>Prestation payée</t>
  </si>
  <si>
    <t>Heures Supp.Durée</t>
  </si>
  <si>
    <t>Heures Supp.Code</t>
  </si>
  <si>
    <t>Norme</t>
  </si>
  <si>
    <t>Pointages</t>
  </si>
  <si>
    <t>Temps Présent</t>
  </si>
  <si>
    <t>Temps_Calc</t>
  </si>
  <si>
    <t>Horaire</t>
  </si>
  <si>
    <t>Coût planif</t>
  </si>
  <si>
    <t>LastCost.Cout Reel</t>
  </si>
  <si>
    <t>LastCost.poit. Coût</t>
  </si>
  <si>
    <t>ImportProtimesumAbs.total abs</t>
  </si>
  <si>
    <t>Département</t>
  </si>
  <si>
    <t>Fonction</t>
  </si>
  <si>
    <t>Employeur</t>
  </si>
  <si>
    <t>secteur</t>
  </si>
  <si>
    <t>lieu de travail</t>
  </si>
  <si>
    <t>Groupe de gestion</t>
  </si>
  <si>
    <t>Groupe gestion introduit</t>
  </si>
  <si>
    <t>Rem</t>
  </si>
  <si>
    <t>TaskPlanned</t>
  </si>
  <si>
    <t>Present</t>
  </si>
  <si>
    <t>%Abs</t>
  </si>
  <si>
    <t>ConsideredPlanned</t>
  </si>
  <si>
    <t>NA1</t>
  </si>
  <si>
    <t>NA2</t>
  </si>
  <si>
    <t>Check PTask</t>
  </si>
  <si>
    <t>Status plan</t>
  </si>
  <si>
    <t>ScopeDate</t>
  </si>
  <si>
    <t>Shift Table.Shift Used</t>
  </si>
  <si>
    <t>GR_Gestion</t>
  </si>
  <si>
    <t>countHead planned</t>
  </si>
  <si>
    <t>Absence Codes.Category</t>
  </si>
  <si>
    <t>NA3</t>
  </si>
  <si>
    <t>NA4</t>
  </si>
  <si>
    <t>NA5</t>
  </si>
  <si>
    <t>Corrected Fct</t>
  </si>
  <si>
    <t>OPS Scope</t>
  </si>
  <si>
    <t>NA6</t>
  </si>
  <si>
    <t>HoD_WF_Plan_Name</t>
  </si>
  <si>
    <t>HoD_WF_Actual_Name</t>
  </si>
  <si>
    <t>WF Planning Overules</t>
  </si>
  <si>
    <t>DateEntree</t>
  </si>
  <si>
    <t>Anomaly1_HeuresNonJustifiées</t>
  </si>
  <si>
    <t>Anomaly2_TotalHeuresVsNnorme</t>
  </si>
  <si>
    <t>ConsoAnomalyDuration</t>
  </si>
  <si>
    <t>Matricule</t>
  </si>
  <si>
    <t>CheckPrêt</t>
  </si>
  <si>
    <t>Anomaly</t>
  </si>
  <si>
    <t>Ref_Forcing_Rules.Info</t>
  </si>
  <si>
    <t>CheckDispo</t>
  </si>
  <si>
    <t>CheckPlannif_PVx.Absence Code PV</t>
  </si>
  <si>
    <t>Durée Demandée</t>
  </si>
  <si>
    <t>RefusDemande</t>
  </si>
  <si>
    <t>PVxInScope</t>
  </si>
  <si>
    <t>Concat Name/Info</t>
  </si>
  <si>
    <t>TOTAL Skills</t>
  </si>
  <si>
    <t>ShiftSeq</t>
  </si>
  <si>
    <t>Pl_Anomaly</t>
  </si>
  <si>
    <t>Pending Durée</t>
  </si>
  <si>
    <t>Absence Code Pending</t>
  </si>
  <si>
    <t>IDPlanningCost</t>
  </si>
  <si>
    <t>WkNum</t>
  </si>
  <si>
    <t>WeekDay</t>
  </si>
  <si>
    <t>Analyse data</t>
  </si>
  <si>
    <t>Exclusions</t>
  </si>
  <si>
    <t>Mapping</t>
  </si>
  <si>
    <t>Indicateur</t>
  </si>
  <si>
    <t>AM</t>
  </si>
  <si>
    <t>PM</t>
  </si>
  <si>
    <t>Poste</t>
  </si>
  <si>
    <t>Nom</t>
  </si>
  <si>
    <t>Rôle</t>
  </si>
  <si>
    <t>Slot</t>
  </si>
  <si>
    <t>Cellule</t>
  </si>
  <si>
    <t>Total</t>
  </si>
  <si>
    <t>HUGE PICKFACE</t>
  </si>
  <si>
    <t>Effectif total</t>
  </si>
  <si>
    <t>EL ABBADI, YOUSSEF</t>
  </si>
  <si>
    <t>TRIS</t>
  </si>
  <si>
    <t>G20</t>
  </si>
  <si>
    <t>SME</t>
  </si>
  <si>
    <t>HUGE ASRS</t>
  </si>
  <si>
    <t>DE ANGELIS, FABRIZIO</t>
  </si>
  <si>
    <t>H20</t>
  </si>
  <si>
    <t>RA</t>
  </si>
  <si>
    <t>GTP</t>
  </si>
  <si>
    <t>J20</t>
  </si>
  <si>
    <t>MUST LOAD</t>
  </si>
  <si>
    <t>K20</t>
  </si>
  <si>
    <t>REPLEN PIETON</t>
  </si>
  <si>
    <t>M20</t>
  </si>
  <si>
    <t>STATION GTP11</t>
  </si>
  <si>
    <t>N20</t>
  </si>
  <si>
    <t>P20</t>
  </si>
  <si>
    <t>Q20</t>
  </si>
  <si>
    <t>S20</t>
  </si>
  <si>
    <t>T20</t>
  </si>
  <si>
    <t>V20</t>
  </si>
  <si>
    <t>W20</t>
  </si>
  <si>
    <t>Y20</t>
  </si>
  <si>
    <t>Z20</t>
  </si>
  <si>
    <t>H31</t>
  </si>
  <si>
    <t>H33</t>
  </si>
  <si>
    <t>H35</t>
  </si>
  <si>
    <t>JDC</t>
  </si>
  <si>
    <t>H37</t>
  </si>
  <si>
    <t>H39</t>
  </si>
  <si>
    <t>B23</t>
  </si>
  <si>
    <t>B25</t>
  </si>
  <si>
    <t>B27</t>
  </si>
  <si>
    <t>B29</t>
  </si>
  <si>
    <t>B31</t>
  </si>
  <si>
    <t>B33</t>
  </si>
  <si>
    <t>B35</t>
  </si>
  <si>
    <t>B37</t>
  </si>
  <si>
    <t>B39</t>
  </si>
  <si>
    <t>B41</t>
  </si>
  <si>
    <t>B43</t>
  </si>
  <si>
    <t>B45</t>
  </si>
  <si>
    <t>B47</t>
  </si>
  <si>
    <t>B49</t>
  </si>
  <si>
    <t>B51</t>
  </si>
  <si>
    <t>M31</t>
  </si>
  <si>
    <t>M33</t>
  </si>
  <si>
    <t>M35</t>
  </si>
  <si>
    <t>M37</t>
  </si>
  <si>
    <t>M41</t>
  </si>
  <si>
    <t>M43</t>
  </si>
  <si>
    <t>T31</t>
  </si>
  <si>
    <t>T33</t>
  </si>
  <si>
    <t>T35</t>
  </si>
  <si>
    <t>T37</t>
  </si>
  <si>
    <t>T39</t>
  </si>
  <si>
    <t>T41</t>
  </si>
  <si>
    <t>Y31</t>
  </si>
  <si>
    <t>Y33</t>
  </si>
  <si>
    <t>Y35</t>
  </si>
  <si>
    <t>Y37</t>
  </si>
  <si>
    <t>Y39</t>
  </si>
  <si>
    <t>Y41</t>
  </si>
  <si>
    <t>Y43</t>
  </si>
  <si>
    <t>H45</t>
  </si>
  <si>
    <t>H47</t>
  </si>
  <si>
    <t>H49</t>
  </si>
  <si>
    <t>H51</t>
  </si>
  <si>
    <t>H53</t>
  </si>
  <si>
    <t>H55</t>
  </si>
  <si>
    <t>REAPPRO</t>
  </si>
  <si>
    <t>M47</t>
  </si>
  <si>
    <t>M49</t>
  </si>
  <si>
    <t>M51</t>
  </si>
  <si>
    <t>CARISTE</t>
  </si>
  <si>
    <t>T47</t>
  </si>
  <si>
    <t>Y48</t>
  </si>
  <si>
    <t>Y50</t>
  </si>
  <si>
    <t>Y52</t>
  </si>
  <si>
    <t>AA20</t>
  </si>
  <si>
    <t>MTO</t>
  </si>
  <si>
    <t>SYNO</t>
  </si>
  <si>
    <t>Nombre par tâche SO</t>
  </si>
  <si>
    <t>Nombre par tâche LO</t>
  </si>
  <si>
    <t>HUGE</t>
  </si>
  <si>
    <t>MERGING</t>
  </si>
  <si>
    <t>REWORK LO</t>
  </si>
  <si>
    <t>AYSAN, MERVE</t>
  </si>
  <si>
    <t/>
  </si>
  <si>
    <t>2017 / 14h00 - 21h40 (7h40) SP</t>
  </si>
  <si>
    <t>Small Orders</t>
  </si>
  <si>
    <t>INBOUND</t>
  </si>
  <si>
    <t>Warehouse Operator</t>
  </si>
  <si>
    <t>Startpeople</t>
  </si>
  <si>
    <t>TEMPS</t>
  </si>
  <si>
    <t>Picking - 3110</t>
  </si>
  <si>
    <t>* IN Picking SP</t>
  </si>
  <si>
    <t>P</t>
  </si>
  <si>
    <t>P/</t>
  </si>
  <si>
    <t>Post</t>
  </si>
  <si>
    <t>* IN Picking</t>
  </si>
  <si>
    <t>Operator</t>
  </si>
  <si>
    <t>Pack Small</t>
  </si>
  <si>
    <t>NoClocking</t>
  </si>
  <si>
    <t>F</t>
  </si>
  <si>
    <t>2016 / 6h00 - 14h00 (8h00) TES</t>
  </si>
  <si>
    <t>Pack LO</t>
  </si>
  <si>
    <t>LIFTTRUCK DRIVER</t>
  </si>
  <si>
    <t>Coopervision Distribution</t>
  </si>
  <si>
    <t>CDI</t>
  </si>
  <si>
    <t>Replenishment - 3100</t>
  </si>
  <si>
    <t>* IN Replenishment</t>
  </si>
  <si>
    <t>Pack Large</t>
  </si>
  <si>
    <t>B</t>
  </si>
  <si>
    <t>BEAUPAIN, MAXIME</t>
  </si>
  <si>
    <t>OUTBOUND</t>
  </si>
  <si>
    <t>Shipping - 3050</t>
  </si>
  <si>
    <t>* OUT Shipping</t>
  </si>
  <si>
    <t>BEYER, PRESCILIA</t>
  </si>
  <si>
    <t>Receiving - 3090</t>
  </si>
  <si>
    <t>* IN Receiving</t>
  </si>
  <si>
    <t>HS</t>
  </si>
  <si>
    <t>Holidays</t>
  </si>
  <si>
    <t>HL/MTO - 3020</t>
  </si>
  <si>
    <t>* OUT HL / MTO</t>
  </si>
  <si>
    <t>CLOSSET, JEROME</t>
  </si>
  <si>
    <t>2017 / 14h00 - 21h40 (7h40)</t>
  </si>
  <si>
    <t>Small orders - 3020</t>
  </si>
  <si>
    <t>* OUT Small Orders</t>
  </si>
  <si>
    <t>A</t>
  </si>
  <si>
    <t>DEGEE, KEVIN</t>
  </si>
  <si>
    <t>DIMARCA, VINCENZO</t>
  </si>
  <si>
    <t>EL BSAHI, HICHAM</t>
  </si>
  <si>
    <t>Large orders - 3075</t>
  </si>
  <si>
    <t>* OUT Large Orders/ MTO</t>
  </si>
  <si>
    <t>EVRARD, CHRISTINE</t>
  </si>
  <si>
    <t>FABRY, LAURA</t>
  </si>
  <si>
    <t>2017 / 9h00 - 17h26 (7h36)</t>
  </si>
  <si>
    <t>Day</t>
  </si>
  <si>
    <t>FAID, SOUFIANE</t>
  </si>
  <si>
    <t>Shipping</t>
  </si>
  <si>
    <t>GENGOUX, AXELLE</t>
  </si>
  <si>
    <t>GIRIMANA, GERRY</t>
  </si>
  <si>
    <t>CDD</t>
  </si>
  <si>
    <t>GUENOUNOU, KARIMA</t>
  </si>
  <si>
    <t>HAENTJENS, PASCAL</t>
  </si>
  <si>
    <t>IGLESIAS VARELA, DANNY</t>
  </si>
  <si>
    <t>JAAFARI, ABDELLATIF</t>
  </si>
  <si>
    <t>LEGEAR, MICHAEL</t>
  </si>
  <si>
    <t>2025 / 10h00 - 14h (4h00) - CT</t>
  </si>
  <si>
    <t>MI-TEMPS</t>
  </si>
  <si>
    <t>LO PILATO, JONATHAN</t>
  </si>
  <si>
    <t>LY, CHAN CHUNG</t>
  </si>
  <si>
    <t>MALPAS, BRIAN</t>
  </si>
  <si>
    <t>MARTIN, CAROLINE</t>
  </si>
  <si>
    <t>MEREHOUM, AYMANE</t>
  </si>
  <si>
    <t>MULLER, JORDAN</t>
  </si>
  <si>
    <t>MUNDA, CRISTINA</t>
  </si>
  <si>
    <t>PASSANT, FRANCOIS</t>
  </si>
  <si>
    <t>Waving - 3020</t>
  </si>
  <si>
    <t>* OUT Waving</t>
  </si>
  <si>
    <t>RADEMACKERS, JEREMY</t>
  </si>
  <si>
    <t>SEREDA, HANNA</t>
  </si>
  <si>
    <t>Other</t>
  </si>
  <si>
    <t>SIEDLECKA, KLAUDIA</t>
  </si>
  <si>
    <t>SIMAR, JORDAN</t>
  </si>
  <si>
    <t>SMEERS, THIBAULT</t>
  </si>
  <si>
    <t>STEPHANIE, JESSICA</t>
  </si>
  <si>
    <t>SUSUROV, ALI</t>
  </si>
  <si>
    <t>TAS, YOHAN</t>
  </si>
  <si>
    <t>THIAM, BABACAR</t>
  </si>
  <si>
    <t>TROIANO, LETICIA</t>
  </si>
  <si>
    <t>WAUTHIER, CEDRIC</t>
  </si>
  <si>
    <t>WEBER, ANTOINE</t>
  </si>
  <si>
    <t>SME*</t>
  </si>
  <si>
    <t>WEIS, ANTHONY</t>
  </si>
  <si>
    <t>TOSSENS, ROBIN</t>
  </si>
  <si>
    <t>CHENOIX, JASON</t>
  </si>
  <si>
    <t>Jean Delcour</t>
  </si>
  <si>
    <t>KARAKASHEV, DEYAN</t>
  </si>
  <si>
    <t>* OUT Small Orders SP</t>
  </si>
  <si>
    <t>SUERO QUIROS, TRISTAN</t>
  </si>
  <si>
    <t>HRISTEA, BOGDAN CONSTANTIN</t>
  </si>
  <si>
    <t>OIHNA, MOHAMMED RIDA</t>
  </si>
  <si>
    <t>BISSOT, TIFFANY</t>
  </si>
  <si>
    <t xml:space="preserve"> /</t>
  </si>
  <si>
    <t>SORCE, GIOVANNA</t>
  </si>
  <si>
    <t>SASSO, LAETITIA</t>
  </si>
  <si>
    <t>SASSO, LAETITIA/ /</t>
  </si>
  <si>
    <t>SCHOCKERT, WENDY</t>
  </si>
  <si>
    <t>SCHOCKERT, WENDY/ /</t>
  </si>
  <si>
    <t>FINET, LORENA CORINA</t>
  </si>
  <si>
    <t>AGIRMAN, GULIZIR</t>
  </si>
  <si>
    <t>AKGUN, SELIN</t>
  </si>
  <si>
    <t>AUSSEM, GAEL</t>
  </si>
  <si>
    <t>BASTARDO, IVANA</t>
  </si>
  <si>
    <t>BELOMB, BENJAMIN ANDRE</t>
  </si>
  <si>
    <t>BERARDI, DAVID</t>
  </si>
  <si>
    <t>CARIATI, JESSICA</t>
  </si>
  <si>
    <t>COPEE, ANGELA</t>
  </si>
  <si>
    <t>DE SIMONE, FABIAN</t>
  </si>
  <si>
    <t>DOSIN, ANTHONY</t>
  </si>
  <si>
    <t>DROEVEN, KATHY</t>
  </si>
  <si>
    <t>2025 / 6h00 - 10h00 (4h00) - C</t>
  </si>
  <si>
    <t>DUJARDIN, JULIE</t>
  </si>
  <si>
    <t>FUENTE, CARMINA</t>
  </si>
  <si>
    <t>GAGLA, SARAH</t>
  </si>
  <si>
    <t>GEORGES, CYNTHIA</t>
  </si>
  <si>
    <t>GIORDANO, VALERIE</t>
  </si>
  <si>
    <t>GUSAROVA, OLGA</t>
  </si>
  <si>
    <t>IKORINEZA, DAVY</t>
  </si>
  <si>
    <t>IMPEDOVO, SANDRA</t>
  </si>
  <si>
    <t>JACQUEMIN, NICOLE</t>
  </si>
  <si>
    <t>KAPITA, YANNICK</t>
  </si>
  <si>
    <t>KOSTINIS, DIMITRIS</t>
  </si>
  <si>
    <t>LAWSON, LATE</t>
  </si>
  <si>
    <t>LECLERRE, GREGORY</t>
  </si>
  <si>
    <t>LOBET, CHRISTOPHE</t>
  </si>
  <si>
    <t>LOVINFOSSE, THOMAS</t>
  </si>
  <si>
    <t>?PV2</t>
  </si>
  <si>
    <t>PVC</t>
  </si>
  <si>
    <t>MARQUET, LOIC</t>
  </si>
  <si>
    <t>MEZZOUR, M'HAMED HICHAM</t>
  </si>
  <si>
    <t>MOITROUX, BENOIT</t>
  </si>
  <si>
    <t>NELLES, SANDRA</t>
  </si>
  <si>
    <t>NGUENZI, JOSUE</t>
  </si>
  <si>
    <t>N'GUESSAN, ARNAUD</t>
  </si>
  <si>
    <t>NUTTIN-SAGEHOMME, PIERRE</t>
  </si>
  <si>
    <t>PARISI, ELODIE ANNE</t>
  </si>
  <si>
    <t>PEEREN, VINCENT</t>
  </si>
  <si>
    <t>PHAN, VAN TREO</t>
  </si>
  <si>
    <t>PIZZINATO, SABRINA</t>
  </si>
  <si>
    <t>POUMAY, MARION</t>
  </si>
  <si>
    <t>RAES, BENJAMIN</t>
  </si>
  <si>
    <t>REINA, JOSEPHINE</t>
  </si>
  <si>
    <t>RICO SANCHEZ, DANIEL</t>
  </si>
  <si>
    <t>RODRIGUES VAZ, ANDRESSA</t>
  </si>
  <si>
    <t>PAO</t>
  </si>
  <si>
    <t>RODRIGUEZ TORRES, LORIS</t>
  </si>
  <si>
    <t>ROYER, CORALINE</t>
  </si>
  <si>
    <t>SALINGUE, DIMITRI</t>
  </si>
  <si>
    <t>SCHOUMAKER, LUC</t>
  </si>
  <si>
    <t>SEBESTYEN, MAXIME</t>
  </si>
  <si>
    <t>SEEL, STEPHANIE</t>
  </si>
  <si>
    <t>TEHEUX, ANAIS</t>
  </si>
  <si>
    <t>TOGNI, ALEXANDRE</t>
  </si>
  <si>
    <t>TRESNIE, LINDSEY</t>
  </si>
  <si>
    <t>UZUNALI, SEMRAL</t>
  </si>
  <si>
    <t>VAN DIEPEN, BENOIT</t>
  </si>
  <si>
    <t>VAN HOVE, LUC</t>
  </si>
  <si>
    <t>VANASCHEN, KEVIN</t>
  </si>
  <si>
    <t>VANDAMME, VANY</t>
  </si>
  <si>
    <t>WEINHARDT, ROSA</t>
  </si>
  <si>
    <t>WILISQUI, JEAN-MICHEL</t>
  </si>
  <si>
    <t>YALINKILICLI, HANDAN</t>
  </si>
  <si>
    <t>ZAWADZKI, JOACHIM</t>
  </si>
  <si>
    <t>JACHIMOWICZ, BARBARA</t>
  </si>
  <si>
    <t>KOUDOU, EMILE</t>
  </si>
  <si>
    <t>COURTOIS, CHARLINE</t>
  </si>
  <si>
    <t>SAINT JUNIOR BISSACK, FELIX</t>
  </si>
  <si>
    <t>GUILLEN GONSALEZ, ROMAIN</t>
  </si>
  <si>
    <t>MUHINDO KAKULE, JACKSON</t>
  </si>
  <si>
    <t>DEKEYSER, SEVERINE</t>
  </si>
  <si>
    <t>DORVOS, DENISA</t>
  </si>
  <si>
    <t>OZTURK, TIMUR</t>
  </si>
  <si>
    <t>2017 / 6h00 - 14h00 (8h00) SP</t>
  </si>
  <si>
    <t>STUDENT</t>
  </si>
  <si>
    <t>Student</t>
  </si>
  <si>
    <t>MEIRESONNE, FLORENCE</t>
  </si>
  <si>
    <t>DECONINCK, PIERRE</t>
  </si>
  <si>
    <t>ABDELMALKI, YOUSSEF</t>
  </si>
  <si>
    <t>NIYONZIMA, MATHIEU</t>
  </si>
  <si>
    <t>SO</t>
  </si>
  <si>
    <t>DAY</t>
  </si>
  <si>
    <t>Rework LO</t>
  </si>
  <si>
    <t>Merging</t>
  </si>
  <si>
    <t>Huge Order</t>
  </si>
  <si>
    <t>Multi Totes Orders</t>
  </si>
  <si>
    <t>Planning SO</t>
  </si>
  <si>
    <t>Taches</t>
  </si>
  <si>
    <t>Back UP</t>
  </si>
  <si>
    <t>Shift</t>
  </si>
  <si>
    <t>Planning LO</t>
  </si>
  <si>
    <t>Back up Rework</t>
  </si>
  <si>
    <t>Back up Merging</t>
  </si>
  <si>
    <t>Back up Huge order</t>
  </si>
  <si>
    <t>Backup tâches SO</t>
  </si>
  <si>
    <t>Backup tâches LO</t>
  </si>
  <si>
    <t>Back up SYNO</t>
  </si>
  <si>
    <t>Back up MTO</t>
  </si>
  <si>
    <t>Jour</t>
  </si>
  <si>
    <t>Mi-temps</t>
  </si>
  <si>
    <t>LO</t>
  </si>
  <si>
    <t>Jour SO</t>
  </si>
  <si>
    <t>Mi-Temps SO</t>
  </si>
  <si>
    <t>Jour LO</t>
  </si>
  <si>
    <t>Mi-Temps LO</t>
  </si>
  <si>
    <t>Shift SO</t>
  </si>
  <si>
    <t>Shift LO</t>
  </si>
  <si>
    <t>9h</t>
  </si>
  <si>
    <t>10h</t>
  </si>
  <si>
    <t>14h</t>
  </si>
  <si>
    <t>Mi-Temps SO 6h</t>
  </si>
  <si>
    <t>Mi-Temps SO 10h</t>
  </si>
  <si>
    <t>Mi-Temps LO 6h</t>
  </si>
  <si>
    <t>Mi-Temps LO 10h</t>
  </si>
  <si>
    <t>Multi Totes</t>
  </si>
  <si>
    <t>Shift Shipping</t>
  </si>
  <si>
    <t>Jour Shipping</t>
  </si>
  <si>
    <t>Mi-Temps Shipping</t>
  </si>
  <si>
    <t xml:space="preserve">6h </t>
  </si>
  <si>
    <t>17h14</t>
  </si>
  <si>
    <t>BROHEE, BRYAN</t>
  </si>
  <si>
    <t>CERQUETO, NUNZIO</t>
  </si>
  <si>
    <t>*STUDENT</t>
  </si>
  <si>
    <t>JACOB, MANUELLE</t>
  </si>
  <si>
    <t>LY, CHAN-TIENG</t>
  </si>
  <si>
    <t>MAMMANO, ELISE</t>
  </si>
  <si>
    <t>MARTINY, ARNAUD</t>
  </si>
  <si>
    <t>MINCHILLI, GIULIANO</t>
  </si>
  <si>
    <t>VAN OOTEGHEM, MARVIN</t>
  </si>
  <si>
    <t>PV0</t>
  </si>
  <si>
    <t>AFATSAWO, LORENZO</t>
  </si>
  <si>
    <t>BOUCHAT, MORGAN</t>
  </si>
  <si>
    <t>MEURANT, ODILE</t>
  </si>
  <si>
    <t>AGIRMAN, EVA</t>
  </si>
  <si>
    <t>MELAI, MARIKA</t>
  </si>
  <si>
    <t>MONICO, SYDNEY</t>
  </si>
  <si>
    <t>SOUMAHORO, MORISSONNE</t>
  </si>
  <si>
    <t>ERCIYAS, HASAN</t>
  </si>
  <si>
    <t>BLU, ADZO</t>
  </si>
  <si>
    <t>MUGISHA, YVAN</t>
  </si>
  <si>
    <t>NIYONZIMA, ANNE-ERIKA</t>
  </si>
  <si>
    <t>DJOMO NOUYEP, ALAIN</t>
  </si>
  <si>
    <t>SBIHI, ZINAB</t>
  </si>
  <si>
    <t>ABSIL, MICHAEL</t>
  </si>
  <si>
    <t>FONTAINE, CLARA</t>
  </si>
  <si>
    <t>JOSSE, MORGANE</t>
  </si>
  <si>
    <t>MAGERMANS, ELODIE</t>
  </si>
  <si>
    <t>HALTER, BRYAN</t>
  </si>
  <si>
    <t>STARCK, THIERRY</t>
  </si>
  <si>
    <t>ABBES, RABAA</t>
  </si>
  <si>
    <t>CSIKIVGYA, ARTUR</t>
  </si>
  <si>
    <t>IZERE, GRACIELLA</t>
  </si>
  <si>
    <t>PEETERS, SEBASTIEN</t>
  </si>
  <si>
    <t>PERSEO, LUCA</t>
  </si>
  <si>
    <t>GYNSTERBLOM, MANON</t>
  </si>
  <si>
    <t>AKPINAR, CELILE</t>
  </si>
  <si>
    <t>AGNELLO, GERLANDO</t>
  </si>
  <si>
    <t>ARROUD, HANANE</t>
  </si>
  <si>
    <t>BIGICA, FRANCOIS</t>
  </si>
  <si>
    <t>BOUDART, DENIS</t>
  </si>
  <si>
    <t>BRUN FRIZ, MARIA LUISA</t>
  </si>
  <si>
    <t>BURY, ETIENNE</t>
  </si>
  <si>
    <t>CIPOLLA, GIUSEPPE</t>
  </si>
  <si>
    <t>COLLARD, MANON</t>
  </si>
  <si>
    <t>EMURLAI, DZINGIS</t>
  </si>
  <si>
    <t>FAVYTS, SAMUEL</t>
  </si>
  <si>
    <t>GALLO, CARMELO</t>
  </si>
  <si>
    <t>HERBET, CASSANDRA</t>
  </si>
  <si>
    <t>MAQUIGNY, ANDY</t>
  </si>
  <si>
    <t>MAROT, MAXIME</t>
  </si>
  <si>
    <t>SCARANO, SARAH</t>
  </si>
  <si>
    <t>0.5</t>
  </si>
  <si>
    <t>SINANI, ARIANA</t>
  </si>
  <si>
    <t>STEMPIEN, VALERIE</t>
  </si>
  <si>
    <t>SUTERA, SANDRO</t>
  </si>
  <si>
    <t>TOFFOLI, AURELIE</t>
  </si>
  <si>
    <t>VAN EECKE, PASCAL</t>
  </si>
  <si>
    <t>ZENASNI, FAISSAL</t>
  </si>
  <si>
    <t>LEYS, KEVIN</t>
  </si>
  <si>
    <t>DELNOOZ, NATHALIE</t>
  </si>
  <si>
    <t>KASRI, YOUNES MOHAMED</t>
  </si>
  <si>
    <t>TRELAKU, GENTRIT</t>
  </si>
  <si>
    <t>OZER, MELIK</t>
  </si>
  <si>
    <t>AYDIN, YUSUF</t>
  </si>
  <si>
    <t>TOUMI, CHAHID</t>
  </si>
  <si>
    <t>TUMUKUNDE, ANAIS</t>
  </si>
  <si>
    <t>EL BELLOUT, SOUHAYL</t>
  </si>
  <si>
    <t>Mix all ? (OnePack)</t>
  </si>
  <si>
    <t>Mi-Temps SO 9h</t>
  </si>
  <si>
    <t>Role</t>
  </si>
  <si>
    <t>PLAN DE TABLE PACKING  AM + DAY</t>
  </si>
  <si>
    <t>PLAN DE TABLE PACKING PM</t>
  </si>
  <si>
    <t>Station</t>
  </si>
  <si>
    <t>Technical</t>
  </si>
  <si>
    <t>19 G</t>
  </si>
  <si>
    <t>4 G</t>
  </si>
  <si>
    <t>23 D</t>
  </si>
  <si>
    <t>19 D</t>
  </si>
  <si>
    <t>4 D</t>
  </si>
  <si>
    <t>23 G</t>
  </si>
  <si>
    <t>17 G</t>
  </si>
  <si>
    <t>36 D</t>
  </si>
  <si>
    <t>25 D</t>
  </si>
  <si>
    <t>17 D</t>
  </si>
  <si>
    <t>36 G</t>
  </si>
  <si>
    <t>25 G</t>
  </si>
  <si>
    <t>15 G</t>
  </si>
  <si>
    <t>6 G</t>
  </si>
  <si>
    <t>27 D</t>
  </si>
  <si>
    <t>15 D</t>
  </si>
  <si>
    <t>6 D</t>
  </si>
  <si>
    <t>27 G</t>
  </si>
  <si>
    <t>13 G</t>
  </si>
  <si>
    <t>34 D</t>
  </si>
  <si>
    <t>29 D</t>
  </si>
  <si>
    <t>13 D</t>
  </si>
  <si>
    <t>34 G</t>
  </si>
  <si>
    <t>29 G</t>
  </si>
  <si>
    <t>11 G</t>
  </si>
  <si>
    <t>8 G</t>
  </si>
  <si>
    <t>31 D</t>
  </si>
  <si>
    <t>11 D</t>
  </si>
  <si>
    <t>8 D</t>
  </si>
  <si>
    <t>31 G</t>
  </si>
  <si>
    <t>9 G</t>
  </si>
  <si>
    <t>32 D</t>
  </si>
  <si>
    <t>33 D</t>
  </si>
  <si>
    <t>9 D</t>
  </si>
  <si>
    <t>32 G</t>
  </si>
  <si>
    <t>33 G</t>
  </si>
  <si>
    <t>7 G</t>
  </si>
  <si>
    <t>10 G</t>
  </si>
  <si>
    <t>35 D</t>
  </si>
  <si>
    <t>7 D</t>
  </si>
  <si>
    <t>10 D</t>
  </si>
  <si>
    <t>35 G</t>
  </si>
  <si>
    <t>5 G</t>
  </si>
  <si>
    <t>30 D</t>
  </si>
  <si>
    <t>37 D</t>
  </si>
  <si>
    <t>5 D</t>
  </si>
  <si>
    <t>30G</t>
  </si>
  <si>
    <t>37 G</t>
  </si>
  <si>
    <t>12 G</t>
  </si>
  <si>
    <t>39 D</t>
  </si>
  <si>
    <t>12 D</t>
  </si>
  <si>
    <t>39 G</t>
  </si>
  <si>
    <t>28 D</t>
  </si>
  <si>
    <t>41 D</t>
  </si>
  <si>
    <t>28 G</t>
  </si>
  <si>
    <t>41 G</t>
  </si>
  <si>
    <t>14 G</t>
  </si>
  <si>
    <t>43 D</t>
  </si>
  <si>
    <t>14 D</t>
  </si>
  <si>
    <t>43 G</t>
  </si>
  <si>
    <t>26 D</t>
  </si>
  <si>
    <t>26 G</t>
  </si>
  <si>
    <t>16 G</t>
  </si>
  <si>
    <t>16 D</t>
  </si>
  <si>
    <t>24 D</t>
  </si>
  <si>
    <t>24 G</t>
  </si>
  <si>
    <t>38 G</t>
  </si>
  <si>
    <t>38 D</t>
  </si>
  <si>
    <t>18 G</t>
  </si>
  <si>
    <t>18 D</t>
  </si>
  <si>
    <t>40 G</t>
  </si>
  <si>
    <t>40 D</t>
  </si>
  <si>
    <t>20 G</t>
  </si>
  <si>
    <t>20 D</t>
  </si>
  <si>
    <t>42 G</t>
  </si>
  <si>
    <t>42 D</t>
  </si>
  <si>
    <t>44 G</t>
  </si>
  <si>
    <t>44 D</t>
  </si>
  <si>
    <t>46 G</t>
  </si>
  <si>
    <t>46 D</t>
  </si>
  <si>
    <t>48 G</t>
  </si>
  <si>
    <t>48 D</t>
  </si>
  <si>
    <t>Etat</t>
  </si>
  <si>
    <t>Places nominatives ?</t>
  </si>
  <si>
    <t>VIDE</t>
  </si>
  <si>
    <t>Row Labels</t>
  </si>
  <si>
    <t>(blank)</t>
  </si>
  <si>
    <t>Grand Total</t>
  </si>
  <si>
    <t>Column Labels</t>
  </si>
  <si>
    <t>Count of Role</t>
  </si>
  <si>
    <t>PM / DAY</t>
  </si>
  <si>
    <t>AM / DAY / MI-TEMPS</t>
  </si>
  <si>
    <t>SNYO</t>
  </si>
  <si>
    <t>ABERKANI, KAWTAR</t>
  </si>
  <si>
    <t>TERRON, ANTHONY</t>
  </si>
  <si>
    <t>MENSAH, THOMAS</t>
  </si>
  <si>
    <t>ANGUTAEV, OESAMAT</t>
  </si>
  <si>
    <t>VARAGONE, DAVINA</t>
  </si>
  <si>
    <t>ZAPPALA, MARCO</t>
  </si>
  <si>
    <t>UDDIN, HAFIZ</t>
  </si>
  <si>
    <t>Forçages</t>
  </si>
  <si>
    <t>BEAUPAIN, MAXIME46181</t>
  </si>
  <si>
    <t>BOLL, GREGORY</t>
  </si>
  <si>
    <t>BOLL, GREGORY46181</t>
  </si>
  <si>
    <t>BROHEE, BRYAN46181</t>
  </si>
  <si>
    <t>BRUN FRIZ, MARIA LUISA46181</t>
  </si>
  <si>
    <t>CERQUETO, NUNZIO46181</t>
  </si>
  <si>
    <t>DE SIMONE, FABIAN46181</t>
  </si>
  <si>
    <t>DECONINCK, PIERRE46181</t>
  </si>
  <si>
    <t>DEGEE, KEVIN46181</t>
  </si>
  <si>
    <t>DENISON, COLE</t>
  </si>
  <si>
    <t>DENISON, COLE46181</t>
  </si>
  <si>
    <t>DUMITRASCU, RAMONA</t>
  </si>
  <si>
    <t>DUMITRASCU, RAMONA46181</t>
  </si>
  <si>
    <t>DURWAEL, MEREDITH</t>
  </si>
  <si>
    <t>DURWAEL, MEREDITH46181</t>
  </si>
  <si>
    <t>EMURLAI, DZINGIS46181</t>
  </si>
  <si>
    <t>EVRARD, CHRISTINE46181</t>
  </si>
  <si>
    <t>FACCINI, MAXIME</t>
  </si>
  <si>
    <t>FACCINI, MAXIME46181</t>
  </si>
  <si>
    <t>FAID, SOUFIANE46181</t>
  </si>
  <si>
    <t>GENGOUX, AXELLE46181</t>
  </si>
  <si>
    <t>GIRIMANA, GERRY46181</t>
  </si>
  <si>
    <t>GRENIER, MARIE-PAULE</t>
  </si>
  <si>
    <t>GRENIER, MARIE-PAULE46181</t>
  </si>
  <si>
    <t>GUSAROVA, OLGA46181</t>
  </si>
  <si>
    <t>HAENTJENS, PASCAL46181</t>
  </si>
  <si>
    <t>LY, CHAN CHUNG46181</t>
  </si>
  <si>
    <t>MALPAS, BRIAN46181</t>
  </si>
  <si>
    <t>MAROT, MAXIME46181</t>
  </si>
  <si>
    <t>MARTINY, ARNAUD46181</t>
  </si>
  <si>
    <t>MOITROUX, BENOIT46181</t>
  </si>
  <si>
    <t>MULLER, JORDAN46181</t>
  </si>
  <si>
    <t>MUNDA, CRISTINA46181</t>
  </si>
  <si>
    <t>N'GUESSAN, ARNAUD46181</t>
  </si>
  <si>
    <t>PARISI, ELODIE ANNE46181</t>
  </si>
  <si>
    <t>PASSANT, FRANCOIS46181</t>
  </si>
  <si>
    <t>2025 / 6h00 - 10h00 (4h00) - M</t>
  </si>
  <si>
    <t>REINA, JOSEPHINE46181</t>
  </si>
  <si>
    <t>SALINGUE, DIMITRI46181</t>
  </si>
  <si>
    <t>SEREDA, HANNA46181</t>
  </si>
  <si>
    <t>SINANI, ARIANA46181</t>
  </si>
  <si>
    <t>SMEERS, THIBAULT46181</t>
  </si>
  <si>
    <t>SUSUROV, ALI46181</t>
  </si>
  <si>
    <t>TAS, YOHAN46181</t>
  </si>
  <si>
    <t>TEHEUX, ANAIS46181</t>
  </si>
  <si>
    <t>TRESNIE, LINDSEY46181</t>
  </si>
  <si>
    <t>VALENTI, ROBIN</t>
  </si>
  <si>
    <t>VALENTI, ROBIN46181</t>
  </si>
  <si>
    <t>VAN DIEPEN, BENOIT46181</t>
  </si>
  <si>
    <t>VAN OOTEGHEM, MARVIN46181</t>
  </si>
  <si>
    <t>VLADIMIR, ANNA</t>
  </si>
  <si>
    <t>VLADIMIR, ANNA46181</t>
  </si>
  <si>
    <t>WEBER, ANTOINE46181</t>
  </si>
  <si>
    <t>WILISQUI, JEAN-MICHEL46181</t>
  </si>
  <si>
    <t>TOSSENS, ROBIN46181</t>
  </si>
  <si>
    <t>SOUMAHORO, MORISSONNE46181</t>
  </si>
  <si>
    <t>ABDOULAYE SIDIKOU, CHARIFATOU</t>
  </si>
  <si>
    <t>ABDOULAYE SIDIKOU, CHARIFATOU46181</t>
  </si>
  <si>
    <t>DJOMO NOUYEP, ALAIN46181</t>
  </si>
  <si>
    <t>ANGUTAEV, OESAMAT46181</t>
  </si>
  <si>
    <t>VARAGONE, DAVINA46181</t>
  </si>
  <si>
    <t>HUARD, MARIELLE</t>
  </si>
  <si>
    <t>HUARD, MARIELLE46181</t>
  </si>
  <si>
    <t>OZTURK, TIMUR46181</t>
  </si>
  <si>
    <t>JOSSE, MORGANE46181</t>
  </si>
  <si>
    <t>DUMOULIN, JULIEN</t>
  </si>
  <si>
    <t>DUMOULIN, JULIEN46181</t>
  </si>
  <si>
    <t>HALTER, BRYAN46181</t>
  </si>
  <si>
    <t>OIHNA, MOHAMMED RIDA46181</t>
  </si>
  <si>
    <t>ABBES, RABAA46181</t>
  </si>
  <si>
    <t>CSIKIVGYA, ARTUR46181</t>
  </si>
  <si>
    <t>IZERE, GRACIELLA46181</t>
  </si>
  <si>
    <t>PEETERS, SEBASTIEN46181</t>
  </si>
  <si>
    <t>PERSEO, LUCA46181</t>
  </si>
  <si>
    <t>SASSO, LAETITIA46181</t>
  </si>
  <si>
    <t>SCHOCKERT, WENDY46181</t>
  </si>
  <si>
    <t>FINET, LORENA CORINA46181</t>
  </si>
  <si>
    <t>AABOUD, ZAKARIA</t>
  </si>
  <si>
    <t>AABOUD, ZAKARIA46181</t>
  </si>
  <si>
    <t>RAKKAZI, MOHAMED</t>
  </si>
  <si>
    <t>RAKKAZI, MOHAMED46181</t>
  </si>
  <si>
    <t>AGIRMAN, GULIZIR46181</t>
  </si>
  <si>
    <t>AGNELLO, GERLANDO46181</t>
  </si>
  <si>
    <t>AGOVIC, EDIS</t>
  </si>
  <si>
    <t>AGOVIC, EDIS46181</t>
  </si>
  <si>
    <t>AKGUN, SELIN46181</t>
  </si>
  <si>
    <t>ARROUD, HANANE46181</t>
  </si>
  <si>
    <t>BASTARDO, IVANA46181</t>
  </si>
  <si>
    <t>BELOMB, BENJAMIN ANDRE46181</t>
  </si>
  <si>
    <t>BIGICA, FRANCOIS46181</t>
  </si>
  <si>
    <t>BOUDART, DENIS46181</t>
  </si>
  <si>
    <t>BURY, ETIENNE46181</t>
  </si>
  <si>
    <t>CARDINAELS, SABINE</t>
  </si>
  <si>
    <t>CARDINAELS, SABINE46181</t>
  </si>
  <si>
    <t>CLOSSET, JEROME46181</t>
  </si>
  <si>
    <t>COLLARD, MANON46181</t>
  </si>
  <si>
    <t>COPEE, ANGELA46181</t>
  </si>
  <si>
    <t>DROEVEN, KATHY46181</t>
  </si>
  <si>
    <t>DUJARDIN, JULIE46181</t>
  </si>
  <si>
    <t>EL BSAHI, HICHAM46181</t>
  </si>
  <si>
    <t>FABRY, LAURA46181</t>
  </si>
  <si>
    <t>FAVYTS, SAMUEL46181</t>
  </si>
  <si>
    <t>FUENTE, CARMINA46181</t>
  </si>
  <si>
    <t>GAGLA, SARAH46181</t>
  </si>
  <si>
    <t>GEORGES, CYNTHIA46181</t>
  </si>
  <si>
    <t>GIORDANO, VALERIE46181</t>
  </si>
  <si>
    <t>GRESSENS, ANDREW</t>
  </si>
  <si>
    <t>GRESSENS, ANDREW46181</t>
  </si>
  <si>
    <t>HERBET, CASSANDRA46181</t>
  </si>
  <si>
    <t>IKORINEZA, DAVY46181</t>
  </si>
  <si>
    <t>2025 / 6h00 - 10h00 (4h00)</t>
  </si>
  <si>
    <t>IMPEDOVO, SANDRA46181</t>
  </si>
  <si>
    <t>JAAFARI, ABDELLATIF46181</t>
  </si>
  <si>
    <t>JACOB, MANUELLE46181</t>
  </si>
  <si>
    <t>KANTE, RAMATA</t>
  </si>
  <si>
    <t>KANTE, RAMATA46181</t>
  </si>
  <si>
    <t>KOSTINIS, DIMITRIS46181</t>
  </si>
  <si>
    <t>LAWSON, LATE46181</t>
  </si>
  <si>
    <t>LECLERRE, GREGORY46181</t>
  </si>
  <si>
    <t>LEGEAR, MICHAEL46181</t>
  </si>
  <si>
    <t>LO PILATO, JONATHAN46181</t>
  </si>
  <si>
    <t>LOBET, CHRISTOPHE46181</t>
  </si>
  <si>
    <t>LOVINFOSSE, THOMAS46181</t>
  </si>
  <si>
    <t>MAQUIGNY, ANDY46181</t>
  </si>
  <si>
    <t>MARQUET, LOIC46181</t>
  </si>
  <si>
    <t>MARTIN, CAROLINE46181</t>
  </si>
  <si>
    <t>MEZZOUR, M'HAMED HICHAM46181</t>
  </si>
  <si>
    <t>NGUENZI, JOSUE46181</t>
  </si>
  <si>
    <t>PIZZINATO, SABRINA46181</t>
  </si>
  <si>
    <t>RADEMACKERS, JEREMY46181</t>
  </si>
  <si>
    <t>RAMANZOTTI, ANTHONY</t>
  </si>
  <si>
    <t>RAMANZOTTI, ANTHONY46181</t>
  </si>
  <si>
    <t>RODRIGUES VAZ, ANDRESSA46181</t>
  </si>
  <si>
    <t>RODRIGUEZ TORRES, LORIS46181</t>
  </si>
  <si>
    <t>ROYER, CORALINE46181</t>
  </si>
  <si>
    <t>SCARANO, SARAH46181</t>
  </si>
  <si>
    <t>SCHOUMAKER, LUC46181</t>
  </si>
  <si>
    <t>SEBESTYEN, MAXIME46181</t>
  </si>
  <si>
    <t>SEEL, STEPHANIE46181</t>
  </si>
  <si>
    <t>SIEDLECKA, KLAUDIA46181</t>
  </si>
  <si>
    <t>STEPHANIE, JESSICA46181</t>
  </si>
  <si>
    <t>SUTERA, SANDRO46181</t>
  </si>
  <si>
    <t>TOGNI, ALEXANDRE46181</t>
  </si>
  <si>
    <t>TROIANO, LETICIA46181</t>
  </si>
  <si>
    <t>UZUNALI, SEMRAL46181</t>
  </si>
  <si>
    <t>VAN EECKE, PASCAL46181</t>
  </si>
  <si>
    <t>VANASCHEN, KEVIN46181</t>
  </si>
  <si>
    <t>WAUTHIER, CEDRIC46181</t>
  </si>
  <si>
    <t>WEINHARDT, ROSA46181</t>
  </si>
  <si>
    <t>WEIS, ANTHONY46181</t>
  </si>
  <si>
    <t>ZAPPALA, MARCO46181</t>
  </si>
  <si>
    <t>ZAWADZKI, JOACHIM46181</t>
  </si>
  <si>
    <t>ZENASNI, FAISSAL46181</t>
  </si>
  <si>
    <t>JACHIMOWICZ, BARBARA46181</t>
  </si>
  <si>
    <t>ROUCHET, QUENTIN</t>
  </si>
  <si>
    <t>ROUCHET, QUENTIN46181</t>
  </si>
  <si>
    <t>LEYS, KEVIN46181</t>
  </si>
  <si>
    <t>KOUDOU, EMILE46181</t>
  </si>
  <si>
    <t>KARAKASHEV, DEYAN46181</t>
  </si>
  <si>
    <t>SUERO QUIROS, TRISTAN46181</t>
  </si>
  <si>
    <t>COURTOIS, CHARLINE46181</t>
  </si>
  <si>
    <t>HRISTEA, BOGDAN CONSTANTIN46181</t>
  </si>
  <si>
    <t>SAINT JUNIOR BISSACK, FELIX46181</t>
  </si>
  <si>
    <t>GUILLEN GONSALEZ, ROMAIN46181</t>
  </si>
  <si>
    <t>MUHINDO KAKULE, JACKSON46181</t>
  </si>
  <si>
    <t>DEKEYSER, SEVERINE46181</t>
  </si>
  <si>
    <t>DORVOS, DENISA46181</t>
  </si>
  <si>
    <t>MEUNIER, QUENTIN</t>
  </si>
  <si>
    <t>MEUNIER, QUENTIN46181</t>
  </si>
  <si>
    <t>DELNOOZ, NATHALIE46181</t>
  </si>
  <si>
    <t>NGONDIE ALUA, LOIC</t>
  </si>
  <si>
    <t>NGONDIE ALUA, LOIC46181</t>
  </si>
  <si>
    <t>KASRI, YOUNES MOHAMED46181</t>
  </si>
  <si>
    <t>MEIRESONNE, FLORENCE46181</t>
  </si>
  <si>
    <t>GUENOUNOU, KARIMA/ /</t>
  </si>
  <si>
    <t>GUENOUNOU, KARIMA46181</t>
  </si>
  <si>
    <t>SORCE, GIOVANNA46181</t>
  </si>
  <si>
    <t>OZER, MELIK46181</t>
  </si>
  <si>
    <t>ABDELMALKI, YOUSSEF46181</t>
  </si>
  <si>
    <t>AYDIN, YUSUF46181</t>
  </si>
  <si>
    <t>TOUMI, CHAHID46181</t>
  </si>
  <si>
    <t>TUMUKUNDE, ANAIS46181</t>
  </si>
  <si>
    <t>EL BELLOUT, SOUHAYL46181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</si>
</sst>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6"/>
      <color rgb="FF000000"/>
      <name val="Aptos Narrow"/>
      <family val="2"/>
    </font>
    <font>
      <sz val="11"/>
      <color theme="5" tint="0.3999755851924192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25"/>
      <color theme="5"/>
      <name val="Aptos Narrow"/>
      <family val="2"/>
      <scheme val="minor"/>
    </font>
    <font>
      <b/>
      <sz val="14"/>
      <color theme="5" tint="-0.249977111117893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6"/>
      <color rgb="FFFFFFFF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rgb="FFE0EBF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9638E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50B4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CCCC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F95DF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2F2F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3" tint="0.249977111117893"/>
      </top>
      <bottom/>
      <diagonal/>
    </border>
    <border>
      <left/>
      <right/>
      <top style="thin">
        <color theme="3" tint="0.249977111117893"/>
      </top>
      <bottom/>
      <diagonal/>
    </border>
    <border>
      <left/>
      <right style="thin">
        <color theme="1"/>
      </right>
      <top style="thin">
        <color theme="3" tint="0.249977111117893"/>
      </top>
      <bottom/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8">
    <xf numFmtId="0" fontId="0" fillId="0" borderId="0" xfId="0"/>
    <xf numFmtId="14" fontId="0" fillId="0" borderId="0" xfId="0" applyNumberFormat="1"/>
    <xf numFmtId="0" fontId="0" fillId="3" borderId="1" xfId="0" applyFill="1" applyBorder="1"/>
    <xf numFmtId="0" fontId="3" fillId="5" borderId="5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14" fontId="0" fillId="3" borderId="0" xfId="0" applyNumberFormat="1" applyFill="1"/>
    <xf numFmtId="0" fontId="0" fillId="7" borderId="6" xfId="0" applyFill="1" applyBorder="1"/>
    <xf numFmtId="0" fontId="1" fillId="7" borderId="0" xfId="0" applyFont="1" applyFill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3" fillId="0" borderId="0" xfId="0" applyFont="1"/>
    <xf numFmtId="0" fontId="3" fillId="9" borderId="6" xfId="0" applyFont="1" applyFill="1" applyBorder="1"/>
    <xf numFmtId="0" fontId="0" fillId="9" borderId="0" xfId="0" applyFill="1" applyAlignment="1">
      <alignment horizontal="center" vertical="center"/>
    </xf>
    <xf numFmtId="0" fontId="3" fillId="0" borderId="6" xfId="0" applyFont="1" applyBorder="1"/>
    <xf numFmtId="0" fontId="3" fillId="0" borderId="8" xfId="0" applyFont="1" applyBorder="1"/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10" borderId="0" xfId="0" applyFont="1" applyFill="1"/>
    <xf numFmtId="0" fontId="6" fillId="3" borderId="0" xfId="0" applyFont="1" applyFill="1"/>
    <xf numFmtId="0" fontId="6" fillId="3" borderId="12" xfId="0" applyFont="1" applyFill="1" applyBorder="1"/>
    <xf numFmtId="0" fontId="0" fillId="3" borderId="0" xfId="0" applyFill="1" applyAlignment="1">
      <alignment horizontal="center" vertical="center"/>
    </xf>
    <xf numFmtId="0" fontId="0" fillId="3" borderId="13" xfId="0" applyFill="1" applyBorder="1"/>
    <xf numFmtId="0" fontId="3" fillId="2" borderId="0" xfId="0" applyFont="1" applyFill="1" applyAlignment="1">
      <alignment horizontal="center" vertical="center"/>
    </xf>
    <xf numFmtId="0" fontId="0" fillId="3" borderId="6" xfId="0" applyFill="1" applyBorder="1"/>
    <xf numFmtId="0" fontId="0" fillId="9" borderId="12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0" borderId="13" xfId="0" applyBorder="1"/>
    <xf numFmtId="0" fontId="0" fillId="3" borderId="0" xfId="0" applyFill="1" applyBorder="1"/>
    <xf numFmtId="0" fontId="3" fillId="3" borderId="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/>
    <xf numFmtId="0" fontId="2" fillId="3" borderId="0" xfId="0" applyFont="1" applyFill="1" applyBorder="1"/>
    <xf numFmtId="0" fontId="4" fillId="3" borderId="0" xfId="0" applyFont="1" applyFill="1" applyBorder="1"/>
    <xf numFmtId="0" fontId="3" fillId="3" borderId="0" xfId="0" applyFont="1" applyFill="1"/>
    <xf numFmtId="0" fontId="3" fillId="3" borderId="0" xfId="0" applyFont="1" applyFill="1" applyBorder="1" applyAlignment="1"/>
    <xf numFmtId="0" fontId="3" fillId="0" borderId="0" xfId="0" applyFont="1" applyFill="1"/>
    <xf numFmtId="0" fontId="0" fillId="0" borderId="0" xfId="0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0" fillId="0" borderId="0" xfId="0" applyFill="1"/>
    <xf numFmtId="0" fontId="3" fillId="4" borderId="6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 vertical="center"/>
    </xf>
    <xf numFmtId="0" fontId="0" fillId="2" borderId="0" xfId="0" applyFill="1"/>
    <xf numFmtId="0" fontId="0" fillId="13" borderId="10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0" borderId="12" xfId="0" applyBorder="1"/>
    <xf numFmtId="0" fontId="0" fillId="3" borderId="12" xfId="0" applyFill="1" applyBorder="1"/>
    <xf numFmtId="0" fontId="3" fillId="2" borderId="17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3" fillId="3" borderId="12" xfId="0" applyFont="1" applyFill="1" applyBorder="1" applyAlignment="1"/>
    <xf numFmtId="0" fontId="0" fillId="12" borderId="13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11" xfId="0" applyFont="1" applyFill="1" applyBorder="1"/>
    <xf numFmtId="0" fontId="0" fillId="15" borderId="6" xfId="0" applyFill="1" applyBorder="1"/>
    <xf numFmtId="0" fontId="0" fillId="15" borderId="0" xfId="0" applyFill="1" applyBorder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 vertical="center"/>
    </xf>
    <xf numFmtId="0" fontId="0" fillId="3" borderId="7" xfId="0" applyFill="1" applyBorder="1"/>
    <xf numFmtId="0" fontId="0" fillId="0" borderId="0" xfId="0" applyAlignment="1">
      <alignment horizontal="center"/>
    </xf>
    <xf numFmtId="0" fontId="0" fillId="0" borderId="14" xfId="0" applyBorder="1"/>
    <xf numFmtId="0" fontId="1" fillId="17" borderId="14" xfId="0" applyFont="1" applyFill="1" applyBorder="1" applyAlignment="1">
      <alignment horizontal="center"/>
    </xf>
    <xf numFmtId="0" fontId="7" fillId="19" borderId="0" xfId="0" applyFont="1" applyFill="1"/>
    <xf numFmtId="0" fontId="9" fillId="0" borderId="0" xfId="0" applyFont="1" applyAlignment="1">
      <alignment horizontal="center" vertical="top"/>
    </xf>
    <xf numFmtId="0" fontId="0" fillId="0" borderId="23" xfId="0" applyBorder="1" applyAlignment="1">
      <alignment horizontal="center"/>
    </xf>
    <xf numFmtId="0" fontId="10" fillId="0" borderId="0" xfId="0" applyFont="1"/>
    <xf numFmtId="0" fontId="0" fillId="21" borderId="0" xfId="0" applyFill="1" applyAlignment="1">
      <alignment horizontal="left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vertical="top" textRotation="180"/>
    </xf>
    <xf numFmtId="0" fontId="0" fillId="0" borderId="0" xfId="0" applyAlignment="1">
      <alignment textRotation="180"/>
    </xf>
    <xf numFmtId="0" fontId="1" fillId="22" borderId="14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12" borderId="0" xfId="0" applyFont="1" applyFill="1"/>
    <xf numFmtId="0" fontId="13" fillId="16" borderId="0" xfId="0" applyFont="1" applyFill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7" fillId="16" borderId="0" xfId="0" applyFont="1" applyFill="1" applyAlignment="1">
      <alignment horizontal="center" vertical="top"/>
    </xf>
    <xf numFmtId="0" fontId="0" fillId="24" borderId="25" xfId="0" applyFill="1" applyBorder="1" applyAlignment="1">
      <alignment horizontal="center" vertical="center"/>
    </xf>
    <xf numFmtId="0" fontId="16" fillId="24" borderId="25" xfId="0" applyFont="1" applyFill="1" applyBorder="1" applyAlignment="1">
      <alignment horizontal="left" vertical="center" indent="1"/>
    </xf>
    <xf numFmtId="0" fontId="15" fillId="24" borderId="24" xfId="0" applyFont="1" applyFill="1" applyBorder="1" applyAlignment="1">
      <alignment horizontal="left" vertical="center" indent="1"/>
    </xf>
    <xf numFmtId="0" fontId="0" fillId="0" borderId="0" xfId="0" applyAlignment="1">
      <alignment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13" fillId="12" borderId="27" xfId="0" applyFont="1" applyFill="1" applyBorder="1" applyAlignment="1">
      <alignment horizontal="center" vertical="center"/>
    </xf>
    <xf numFmtId="0" fontId="13" fillId="12" borderId="28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indent="1"/>
    </xf>
    <xf numFmtId="0" fontId="0" fillId="21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4" fontId="14" fillId="2" borderId="1" xfId="0" applyNumberFormat="1" applyFont="1" applyFill="1" applyBorder="1" applyAlignment="1">
      <alignment horizontal="center" vertical="center"/>
    </xf>
    <xf numFmtId="0" fontId="1" fillId="16" borderId="26" xfId="0" applyFont="1" applyFill="1" applyBorder="1" applyAlignment="1">
      <alignment horizontal="center"/>
    </xf>
    <xf numFmtId="0" fontId="1" fillId="16" borderId="26" xfId="0" applyFont="1" applyFill="1" applyBorder="1" applyAlignment="1">
      <alignment horizontal="center" vertical="center"/>
    </xf>
    <xf numFmtId="0" fontId="1" fillId="16" borderId="29" xfId="0" applyFont="1" applyFill="1" applyBorder="1" applyAlignment="1">
      <alignment horizontal="center"/>
    </xf>
    <xf numFmtId="0" fontId="19" fillId="0" borderId="0" xfId="0" applyFont="1" applyFill="1" applyBorder="1"/>
    <xf numFmtId="0" fontId="19" fillId="0" borderId="0" xfId="0" applyFont="1" applyFill="1" applyBorder="1" applyAlignment="1">
      <alignment horizontal="center" vertical="center"/>
    </xf>
    <xf numFmtId="0" fontId="19" fillId="0" borderId="0" xfId="0" applyFont="1" applyFill="1"/>
    <xf numFmtId="0" fontId="20" fillId="21" borderId="0" xfId="0" applyFont="1" applyFill="1" applyBorder="1" applyAlignment="1">
      <alignment horizontal="center" vertical="center"/>
    </xf>
    <xf numFmtId="0" fontId="20" fillId="25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/>
    </xf>
    <xf numFmtId="0" fontId="1" fillId="16" borderId="30" xfId="0" applyFont="1" applyFill="1" applyBorder="1" applyAlignment="1">
      <alignment horizontal="center"/>
    </xf>
    <xf numFmtId="0" fontId="0" fillId="16" borderId="25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4" fontId="14" fillId="2" borderId="19" xfId="0" applyNumberFormat="1" applyFont="1" applyFill="1" applyBorder="1" applyAlignment="1">
      <alignment horizontal="center" vertical="center"/>
    </xf>
    <xf numFmtId="14" fontId="14" fillId="2" borderId="31" xfId="0" applyNumberFormat="1" applyFont="1" applyFill="1" applyBorder="1" applyAlignment="1">
      <alignment horizontal="center" vertical="center"/>
    </xf>
    <xf numFmtId="0" fontId="1" fillId="16" borderId="30" xfId="0" applyFont="1" applyFill="1" applyBorder="1" applyAlignment="1">
      <alignment horizontal="center" vertical="center"/>
    </xf>
    <xf numFmtId="0" fontId="1" fillId="16" borderId="32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7" fillId="16" borderId="0" xfId="0" applyFont="1" applyFill="1" applyAlignment="1">
      <alignment horizontal="right" vertical="top" indent="9"/>
    </xf>
    <xf numFmtId="0" fontId="13" fillId="16" borderId="33" xfId="0" applyFont="1" applyFill="1" applyBorder="1" applyAlignment="1">
      <alignment horizontal="center" vertical="center"/>
    </xf>
    <xf numFmtId="0" fontId="13" fillId="16" borderId="34" xfId="0" applyFont="1" applyFill="1" applyBorder="1" applyAlignment="1">
      <alignment horizontal="center" vertical="center"/>
    </xf>
    <xf numFmtId="0" fontId="15" fillId="24" borderId="25" xfId="0" applyFont="1" applyFill="1" applyBorder="1" applyAlignment="1">
      <alignment horizontal="left" vertical="center" indent="1"/>
    </xf>
    <xf numFmtId="14" fontId="14" fillId="2" borderId="26" xfId="0" applyNumberFormat="1" applyFont="1" applyFill="1" applyBorder="1" applyAlignment="1">
      <alignment horizontal="center" vertical="center"/>
    </xf>
    <xf numFmtId="0" fontId="13" fillId="16" borderId="35" xfId="0" applyFont="1" applyFill="1" applyBorder="1" applyAlignment="1">
      <alignment horizontal="center" vertical="center"/>
    </xf>
    <xf numFmtId="0" fontId="13" fillId="16" borderId="36" xfId="0" applyFont="1" applyFill="1" applyBorder="1" applyAlignment="1">
      <alignment horizontal="center" vertical="center"/>
    </xf>
    <xf numFmtId="0" fontId="0" fillId="24" borderId="37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4" fontId="15" fillId="24" borderId="25" xfId="0" applyNumberFormat="1" applyFont="1" applyFill="1" applyBorder="1" applyAlignment="1">
      <alignment horizontal="left" vertical="center" indent="1"/>
    </xf>
    <xf numFmtId="14" fontId="14" fillId="2" borderId="38" xfId="0" applyNumberFormat="1" applyFont="1" applyFill="1" applyBorder="1" applyAlignment="1">
      <alignment horizontal="center" vertical="center"/>
    </xf>
    <xf numFmtId="0" fontId="1" fillId="16" borderId="39" xfId="0" applyFont="1" applyFill="1" applyBorder="1" applyAlignment="1">
      <alignment horizontal="center" vertical="center"/>
    </xf>
    <xf numFmtId="0" fontId="20" fillId="25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0" fillId="21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0" fillId="0" borderId="13" xfId="0" applyFill="1" applyBorder="1" applyAlignment="1" applyProtection="1">
      <alignment horizontal="center"/>
      <protection locked="0"/>
    </xf>
    <xf numFmtId="0" fontId="0" fillId="18" borderId="14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3" borderId="14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protection locked="0"/>
    </xf>
    <xf numFmtId="0" fontId="1" fillId="11" borderId="1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6" xfId="0" applyFont="1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14" borderId="0" xfId="0" applyFont="1" applyFill="1" applyAlignment="1">
      <alignment horizontal="center"/>
    </xf>
    <xf numFmtId="0" fontId="3" fillId="14" borderId="18" xfId="0" applyFont="1" applyFill="1" applyBorder="1" applyAlignment="1">
      <alignment horizontal="center"/>
    </xf>
    <xf numFmtId="0" fontId="3" fillId="14" borderId="19" xfId="0" applyFont="1" applyFill="1" applyBorder="1" applyAlignment="1">
      <alignment horizontal="center"/>
    </xf>
    <xf numFmtId="0" fontId="3" fillId="14" borderId="17" xfId="0" applyFont="1" applyFill="1" applyBorder="1" applyAlignment="1">
      <alignment horizontal="center"/>
    </xf>
    <xf numFmtId="0" fontId="0" fillId="9" borderId="0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9" borderId="16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textRotation="90"/>
    </xf>
    <xf numFmtId="0" fontId="0" fillId="0" borderId="22" xfId="0" applyBorder="1" applyAlignment="1">
      <alignment horizontal="center"/>
    </xf>
    <xf numFmtId="0" fontId="7" fillId="19" borderId="20" xfId="0" applyFont="1" applyFill="1" applyBorder="1" applyAlignment="1">
      <alignment horizontal="center" vertical="center" wrapText="1"/>
    </xf>
    <xf numFmtId="0" fontId="7" fillId="19" borderId="21" xfId="0" applyFont="1" applyFill="1" applyBorder="1" applyAlignment="1">
      <alignment horizontal="center" vertical="center" wrapText="1"/>
    </xf>
    <xf numFmtId="164" fontId="8" fillId="20" borderId="20" xfId="0" applyNumberFormat="1" applyFont="1" applyFill="1" applyBorder="1" applyAlignment="1">
      <alignment horizontal="center"/>
    </xf>
    <xf numFmtId="164" fontId="8" fillId="20" borderId="21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52">
    <dxf>
      <fill>
        <patternFill>
          <bgColor theme="5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border>
        <left/>
        <right/>
        <top/>
        <bottom/>
        <vertical/>
        <horizontal/>
      </border>
    </dxf>
    <dxf>
      <border>
        <left style="thin">
          <color theme="0"/>
        </left>
        <vertical/>
        <horizontal/>
      </border>
    </dxf>
    <dxf>
      <fill>
        <patternFill>
          <bgColor theme="3" tint="0.24994659260841701"/>
        </patternFill>
      </fill>
    </dxf>
    <dxf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 style="thin">
          <color theme="0"/>
        </left>
        <vertical/>
        <horizontal/>
      </border>
    </dxf>
    <dxf>
      <fill>
        <patternFill patternType="solid">
          <fgColor theme="0"/>
          <bgColor theme="3" tint="0.2499465926084170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protection locked="0" hidden="0"/>
    </dxf>
    <dxf>
      <protection locked="0" hidden="0"/>
    </dxf>
    <dxf>
      <fill>
        <patternFill patternType="solid">
          <fgColor indexed="64"/>
          <bgColor theme="4" tint="0.39997558519241921"/>
        </patternFill>
      </fill>
    </dxf>
    <dxf>
      <protection locked="0" hidden="0"/>
    </dxf>
    <dxf>
      <protection locked="0" hidden="0"/>
    </dxf>
    <dxf>
      <fill>
        <patternFill patternType="solid">
          <fgColor indexed="64"/>
          <bgColor theme="4" tint="0.39997558519241921"/>
        </patternFill>
      </fill>
    </dxf>
    <dxf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protection locked="0" hidden="0"/>
    </dxf>
    <dxf>
      <fill>
        <patternFill>
          <fgColor indexed="64"/>
          <bgColor rgb="FFE0EBF2"/>
        </patternFill>
      </fill>
    </dxf>
    <dxf>
      <fill>
        <patternFill>
          <fgColor indexed="64"/>
          <bgColor rgb="FFE0EBF2"/>
        </patternFill>
      </fill>
    </dxf>
    <dxf>
      <fill>
        <patternFill>
          <fgColor indexed="64"/>
          <bgColor rgb="FFE0EBF2"/>
        </patternFill>
      </fill>
    </dxf>
    <dxf>
      <fill>
        <patternFill>
          <fgColor indexed="64"/>
          <bgColor rgb="FFE0EBF2"/>
        </patternFill>
      </fill>
    </dxf>
    <dxf>
      <fill>
        <patternFill patternType="solid">
          <fgColor indexed="64"/>
          <bgColor rgb="FFE0EBF2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F50B4E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numFmt numFmtId="165" formatCode="m/d/yyyy"/>
    </dxf>
  </dxfs>
  <tableStyles count="0" defaultTableStyle="TableStyleMedium2" defaultPivotStyle="PivotStyleLight16"/>
  <colors>
    <mruColors>
      <color rgb="FFFFD966"/>
      <color rgb="FF4472C4"/>
      <color rgb="FFBF95DF"/>
      <color rgb="FFE0EBF2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38100</xdr:rowOff>
        </xdr:from>
        <xdr:to>
          <xdr:col>10</xdr:col>
          <xdr:colOff>638175</xdr:colOff>
          <xdr:row>8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Aptos Narrow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20</xdr:row>
          <xdr:rowOff>133350</xdr:rowOff>
        </xdr:from>
        <xdr:to>
          <xdr:col>11</xdr:col>
          <xdr:colOff>561975</xdr:colOff>
          <xdr:row>26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Aptos Narrow"/>
                </a:rPr>
                <a:t>Générer planning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235323</xdr:colOff>
      <xdr:row>0</xdr:row>
      <xdr:rowOff>10486</xdr:rowOff>
    </xdr:from>
    <xdr:to>
      <xdr:col>0</xdr:col>
      <xdr:colOff>921123</xdr:colOff>
      <xdr:row>1</xdr:row>
      <xdr:rowOff>511388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F121CF8-B7E8-404B-84D2-436D54E36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5323" y="10486"/>
          <a:ext cx="685800" cy="579343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400050</xdr:colOff>
      <xdr:row>0</xdr:row>
      <xdr:rowOff>19050</xdr:rowOff>
    </xdr:from>
    <xdr:to>
      <xdr:col>0</xdr:col>
      <xdr:colOff>1085850</xdr:colOff>
      <xdr:row>1</xdr:row>
      <xdr:rowOff>519952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D42C3E1-0B08-41BA-B80B-683B1EA0B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00050" y="19050"/>
          <a:ext cx="685800" cy="577102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600075</xdr:colOff>
      <xdr:row>3</xdr:row>
      <xdr:rowOff>19050</xdr:rowOff>
    </xdr:from>
    <xdr:to>
      <xdr:col>17</xdr:col>
      <xdr:colOff>600075</xdr:colOff>
      <xdr:row>10</xdr:row>
      <xdr:rowOff>19049</xdr:rowOff>
    </xdr:to>
    <xdr:sp macro="" textlink="">
      <xdr:nvSpPr>
        <xdr:cNvPr id="2" name="Arc 1">
          <a:extLst>
            <a:ext uri="{FF2B5EF4-FFF2-40B4-BE49-F238E27FC236}">
              <a16:creationId xmlns:a16="http://schemas.microsoft.com/office/drawing/2014/main" id="{29032FC2-75E5-4040-BAC2-A2540F75894B}"/>
            </a:ext>
          </a:extLst>
        </xdr:cNvPr>
        <xdr:cNvSpPr/>
      </xdr:nvSpPr>
      <xdr:spPr>
        <a:xfrm>
          <a:off x="4086225" y="1600200"/>
          <a:ext cx="4400550" cy="1333499"/>
        </a:xfrm>
        <a:prstGeom prst="arc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19053</xdr:colOff>
      <xdr:row>3</xdr:row>
      <xdr:rowOff>0</xdr:rowOff>
    </xdr:from>
    <xdr:to>
      <xdr:col>14</xdr:col>
      <xdr:colOff>38102</xdr:colOff>
      <xdr:row>9</xdr:row>
      <xdr:rowOff>161925</xdr:rowOff>
    </xdr:to>
    <xdr:sp macro="" textlink="">
      <xdr:nvSpPr>
        <xdr:cNvPr id="3" name="Arc 2">
          <a:extLst>
            <a:ext uri="{FF2B5EF4-FFF2-40B4-BE49-F238E27FC236}">
              <a16:creationId xmlns:a16="http://schemas.microsoft.com/office/drawing/2014/main" id="{DFC1C5AB-7191-455C-B2D3-8D59A1103803}"/>
            </a:ext>
          </a:extLst>
        </xdr:cNvPr>
        <xdr:cNvSpPr/>
      </xdr:nvSpPr>
      <xdr:spPr>
        <a:xfrm rot="16200000">
          <a:off x="3009902" y="1771651"/>
          <a:ext cx="1304925" cy="923924"/>
        </a:xfrm>
        <a:prstGeom prst="arc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7</xdr:col>
      <xdr:colOff>19050</xdr:colOff>
      <xdr:row>34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A13006E5-E246-4604-8641-28997C2A5E7D}"/>
            </a:ext>
          </a:extLst>
        </xdr:cNvPr>
        <xdr:cNvCxnSpPr/>
      </xdr:nvCxnSpPr>
      <xdr:spPr>
        <a:xfrm flipH="1">
          <a:off x="3181350" y="2352675"/>
          <a:ext cx="19050" cy="5648325"/>
        </a:xfrm>
        <a:prstGeom prst="line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</xdr:colOff>
      <xdr:row>7</xdr:row>
      <xdr:rowOff>66675</xdr:rowOff>
    </xdr:from>
    <xdr:to>
      <xdr:col>18</xdr:col>
      <xdr:colOff>19050</xdr:colOff>
      <xdr:row>40</xdr:row>
      <xdr:rowOff>147637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BB8EA31-8A27-421C-98C3-7A9C96835141}"/>
            </a:ext>
          </a:extLst>
        </xdr:cNvPr>
        <xdr:cNvCxnSpPr/>
      </xdr:nvCxnSpPr>
      <xdr:spPr>
        <a:xfrm flipH="1">
          <a:off x="8505825" y="2409825"/>
          <a:ext cx="9525" cy="6872287"/>
        </a:xfrm>
        <a:prstGeom prst="line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114301</xdr:colOff>
      <xdr:row>17</xdr:row>
      <xdr:rowOff>104773</xdr:rowOff>
    </xdr:from>
    <xdr:to>
      <xdr:col>18</xdr:col>
      <xdr:colOff>599868</xdr:colOff>
      <xdr:row>18</xdr:row>
      <xdr:rowOff>78925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F7AA1E4-8849-4777-8D47-59DDE27175A6}"/>
            </a:ext>
          </a:extLst>
        </xdr:cNvPr>
        <xdr:cNvSpPr/>
      </xdr:nvSpPr>
      <xdr:spPr>
        <a:xfrm>
          <a:off x="8610601" y="4505323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23</a:t>
          </a:r>
        </a:p>
        <a:p>
          <a:pPr algn="l"/>
          <a:endParaRPr lang="en-US" sz="1100"/>
        </a:p>
      </xdr:txBody>
    </xdr:sp>
    <xdr:clientData/>
  </xdr:twoCellAnchor>
  <xdr:twoCellAnchor>
    <xdr:from>
      <xdr:col>18</xdr:col>
      <xdr:colOff>104776</xdr:colOff>
      <xdr:row>19</xdr:row>
      <xdr:rowOff>114298</xdr:rowOff>
    </xdr:from>
    <xdr:to>
      <xdr:col>18</xdr:col>
      <xdr:colOff>590343</xdr:colOff>
      <xdr:row>20</xdr:row>
      <xdr:rowOff>88450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53C15DB-6041-4B55-970E-E7869B1E0AFD}"/>
            </a:ext>
          </a:extLst>
        </xdr:cNvPr>
        <xdr:cNvSpPr/>
      </xdr:nvSpPr>
      <xdr:spPr>
        <a:xfrm>
          <a:off x="8601076" y="4914898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25</a:t>
          </a:r>
        </a:p>
      </xdr:txBody>
    </xdr:sp>
    <xdr:clientData/>
  </xdr:twoCellAnchor>
  <xdr:twoCellAnchor>
    <xdr:from>
      <xdr:col>18</xdr:col>
      <xdr:colOff>114301</xdr:colOff>
      <xdr:row>21</xdr:row>
      <xdr:rowOff>104773</xdr:rowOff>
    </xdr:from>
    <xdr:to>
      <xdr:col>18</xdr:col>
      <xdr:colOff>599868</xdr:colOff>
      <xdr:row>22</xdr:row>
      <xdr:rowOff>78925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27370AA-BBAA-4C9A-814E-D00EFD1C202C}"/>
            </a:ext>
          </a:extLst>
        </xdr:cNvPr>
        <xdr:cNvSpPr/>
      </xdr:nvSpPr>
      <xdr:spPr>
        <a:xfrm>
          <a:off x="8610601" y="5305423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27</a:t>
          </a:r>
        </a:p>
      </xdr:txBody>
    </xdr:sp>
    <xdr:clientData/>
  </xdr:twoCellAnchor>
  <xdr:twoCellAnchor>
    <xdr:from>
      <xdr:col>18</xdr:col>
      <xdr:colOff>114301</xdr:colOff>
      <xdr:row>23</xdr:row>
      <xdr:rowOff>95248</xdr:rowOff>
    </xdr:from>
    <xdr:to>
      <xdr:col>18</xdr:col>
      <xdr:colOff>599868</xdr:colOff>
      <xdr:row>24</xdr:row>
      <xdr:rowOff>69400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93C2034-361F-439C-94EA-799919EA13AB}"/>
            </a:ext>
          </a:extLst>
        </xdr:cNvPr>
        <xdr:cNvSpPr/>
      </xdr:nvSpPr>
      <xdr:spPr>
        <a:xfrm>
          <a:off x="8610601" y="5695948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29</a:t>
          </a:r>
        </a:p>
        <a:p>
          <a:pPr algn="l"/>
          <a:endParaRPr lang="en-US" sz="1100"/>
        </a:p>
        <a:p>
          <a:pPr algn="l"/>
          <a:endParaRPr lang="en-US" sz="1100"/>
        </a:p>
      </xdr:txBody>
    </xdr:sp>
    <xdr:clientData/>
  </xdr:twoCellAnchor>
  <xdr:twoCellAnchor>
    <xdr:from>
      <xdr:col>18</xdr:col>
      <xdr:colOff>114301</xdr:colOff>
      <xdr:row>25</xdr:row>
      <xdr:rowOff>114298</xdr:rowOff>
    </xdr:from>
    <xdr:to>
      <xdr:col>18</xdr:col>
      <xdr:colOff>599868</xdr:colOff>
      <xdr:row>26</xdr:row>
      <xdr:rowOff>88450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19008C2-16D5-42F4-8078-6B19894E164E}"/>
            </a:ext>
          </a:extLst>
        </xdr:cNvPr>
        <xdr:cNvSpPr/>
      </xdr:nvSpPr>
      <xdr:spPr>
        <a:xfrm>
          <a:off x="8610601" y="6115048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31</a:t>
          </a:r>
        </a:p>
      </xdr:txBody>
    </xdr:sp>
    <xdr:clientData/>
  </xdr:twoCellAnchor>
  <xdr:twoCellAnchor>
    <xdr:from>
      <xdr:col>18</xdr:col>
      <xdr:colOff>104776</xdr:colOff>
      <xdr:row>27</xdr:row>
      <xdr:rowOff>104773</xdr:rowOff>
    </xdr:from>
    <xdr:to>
      <xdr:col>18</xdr:col>
      <xdr:colOff>590343</xdr:colOff>
      <xdr:row>28</xdr:row>
      <xdr:rowOff>78925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24745E3-42AB-4515-93D3-5328D152965B}"/>
            </a:ext>
          </a:extLst>
        </xdr:cNvPr>
        <xdr:cNvSpPr/>
      </xdr:nvSpPr>
      <xdr:spPr>
        <a:xfrm>
          <a:off x="8601076" y="6505573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33</a:t>
          </a:r>
        </a:p>
      </xdr:txBody>
    </xdr:sp>
    <xdr:clientData/>
  </xdr:twoCellAnchor>
  <xdr:twoCellAnchor>
    <xdr:from>
      <xdr:col>18</xdr:col>
      <xdr:colOff>114301</xdr:colOff>
      <xdr:row>31</xdr:row>
      <xdr:rowOff>104773</xdr:rowOff>
    </xdr:from>
    <xdr:to>
      <xdr:col>18</xdr:col>
      <xdr:colOff>599868</xdr:colOff>
      <xdr:row>32</xdr:row>
      <xdr:rowOff>78925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BB164A56-63C4-4311-B544-C20435A00C77}"/>
            </a:ext>
          </a:extLst>
        </xdr:cNvPr>
        <xdr:cNvSpPr/>
      </xdr:nvSpPr>
      <xdr:spPr>
        <a:xfrm>
          <a:off x="8610601" y="7305673"/>
          <a:ext cx="485567" cy="221802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37</a:t>
          </a:r>
        </a:p>
        <a:p>
          <a:pPr algn="l"/>
          <a:endParaRPr lang="en-US" sz="1100"/>
        </a:p>
      </xdr:txBody>
    </xdr:sp>
    <xdr:clientData/>
  </xdr:twoCellAnchor>
  <xdr:twoCellAnchor>
    <xdr:from>
      <xdr:col>18</xdr:col>
      <xdr:colOff>114301</xdr:colOff>
      <xdr:row>29</xdr:row>
      <xdr:rowOff>104773</xdr:rowOff>
    </xdr:from>
    <xdr:to>
      <xdr:col>18</xdr:col>
      <xdr:colOff>599868</xdr:colOff>
      <xdr:row>30</xdr:row>
      <xdr:rowOff>78925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C13D33CE-4B98-4A3F-8A36-FB59F1933AA3}"/>
            </a:ext>
          </a:extLst>
        </xdr:cNvPr>
        <xdr:cNvSpPr/>
      </xdr:nvSpPr>
      <xdr:spPr>
        <a:xfrm>
          <a:off x="8610601" y="6905623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35</a:t>
          </a:r>
        </a:p>
        <a:p>
          <a:pPr algn="l"/>
          <a:endParaRPr lang="en-US" sz="1100"/>
        </a:p>
      </xdr:txBody>
    </xdr:sp>
    <xdr:clientData/>
  </xdr:twoCellAnchor>
  <xdr:twoCellAnchor>
    <xdr:from>
      <xdr:col>18</xdr:col>
      <xdr:colOff>114301</xdr:colOff>
      <xdr:row>33</xdr:row>
      <xdr:rowOff>95248</xdr:rowOff>
    </xdr:from>
    <xdr:to>
      <xdr:col>18</xdr:col>
      <xdr:colOff>599868</xdr:colOff>
      <xdr:row>34</xdr:row>
      <xdr:rowOff>69400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F3583086-DEE4-4FE1-BD60-92032DCC14A9}"/>
            </a:ext>
          </a:extLst>
        </xdr:cNvPr>
        <xdr:cNvSpPr/>
      </xdr:nvSpPr>
      <xdr:spPr>
        <a:xfrm>
          <a:off x="8610601" y="7743823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39</a:t>
          </a:r>
        </a:p>
      </xdr:txBody>
    </xdr:sp>
    <xdr:clientData/>
  </xdr:twoCellAnchor>
  <xdr:twoCellAnchor>
    <xdr:from>
      <xdr:col>18</xdr:col>
      <xdr:colOff>114301</xdr:colOff>
      <xdr:row>35</xdr:row>
      <xdr:rowOff>123823</xdr:rowOff>
    </xdr:from>
    <xdr:to>
      <xdr:col>18</xdr:col>
      <xdr:colOff>599868</xdr:colOff>
      <xdr:row>36</xdr:row>
      <xdr:rowOff>97975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2106B9FD-EF1F-46AB-BBAC-99FB33DF1009}"/>
            </a:ext>
          </a:extLst>
        </xdr:cNvPr>
        <xdr:cNvSpPr/>
      </xdr:nvSpPr>
      <xdr:spPr>
        <a:xfrm>
          <a:off x="8610601" y="8172448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41</a:t>
          </a:r>
        </a:p>
      </xdr:txBody>
    </xdr:sp>
    <xdr:clientData/>
  </xdr:twoCellAnchor>
  <xdr:twoCellAnchor>
    <xdr:from>
      <xdr:col>18</xdr:col>
      <xdr:colOff>104776</xdr:colOff>
      <xdr:row>37</xdr:row>
      <xdr:rowOff>114299</xdr:rowOff>
    </xdr:from>
    <xdr:to>
      <xdr:col>18</xdr:col>
      <xdr:colOff>599679</xdr:colOff>
      <xdr:row>38</xdr:row>
      <xdr:rowOff>78765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684F5BA-040D-4EB9-9696-BC499126F464}"/>
            </a:ext>
          </a:extLst>
        </xdr:cNvPr>
        <xdr:cNvSpPr/>
      </xdr:nvSpPr>
      <xdr:spPr>
        <a:xfrm>
          <a:off x="8601076" y="8562974"/>
          <a:ext cx="494903" cy="164491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43</a:t>
          </a:r>
        </a:p>
      </xdr:txBody>
    </xdr:sp>
    <xdr:clientData/>
  </xdr:twoCellAnchor>
  <xdr:twoCellAnchor>
    <xdr:from>
      <xdr:col>3</xdr:col>
      <xdr:colOff>19050</xdr:colOff>
      <xdr:row>28</xdr:row>
      <xdr:rowOff>180976</xdr:rowOff>
    </xdr:from>
    <xdr:to>
      <xdr:col>3</xdr:col>
      <xdr:colOff>600075</xdr:colOff>
      <xdr:row>30</xdr:row>
      <xdr:rowOff>171450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95B62B02-E0EF-4884-A1E8-6FEDEA715FDC}"/>
            </a:ext>
          </a:extLst>
        </xdr:cNvPr>
        <xdr:cNvSpPr/>
      </xdr:nvSpPr>
      <xdr:spPr>
        <a:xfrm>
          <a:off x="866775" y="6781801"/>
          <a:ext cx="581025" cy="390524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</a:t>
          </a:r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9525</xdr:colOff>
      <xdr:row>17</xdr:row>
      <xdr:rowOff>114299</xdr:rowOff>
    </xdr:from>
    <xdr:to>
      <xdr:col>17</xdr:col>
      <xdr:colOff>541782</xdr:colOff>
      <xdr:row>18</xdr:row>
      <xdr:rowOff>107822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67B7F687-9027-4E05-8FCE-DB88F2B6867C}"/>
            </a:ext>
          </a:extLst>
        </xdr:cNvPr>
        <xdr:cNvSpPr/>
      </xdr:nvSpPr>
      <xdr:spPr>
        <a:xfrm>
          <a:off x="7896225" y="4524374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24</a:t>
          </a:r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19</xdr:row>
      <xdr:rowOff>104774</xdr:rowOff>
    </xdr:from>
    <xdr:to>
      <xdr:col>17</xdr:col>
      <xdr:colOff>532257</xdr:colOff>
      <xdr:row>20</xdr:row>
      <xdr:rowOff>98297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F2715D3E-257A-4F38-97ED-030FB6D04887}"/>
            </a:ext>
          </a:extLst>
        </xdr:cNvPr>
        <xdr:cNvSpPr/>
      </xdr:nvSpPr>
      <xdr:spPr>
        <a:xfrm>
          <a:off x="7886700" y="4905374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26</a:t>
          </a:r>
        </a:p>
      </xdr:txBody>
    </xdr:sp>
    <xdr:clientData/>
  </xdr:twoCellAnchor>
  <xdr:twoCellAnchor>
    <xdr:from>
      <xdr:col>17</xdr:col>
      <xdr:colOff>9525</xdr:colOff>
      <xdr:row>21</xdr:row>
      <xdr:rowOff>95249</xdr:rowOff>
    </xdr:from>
    <xdr:to>
      <xdr:col>17</xdr:col>
      <xdr:colOff>541782</xdr:colOff>
      <xdr:row>22</xdr:row>
      <xdr:rowOff>88772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3B21C142-01F4-4EEE-A6F4-BA6294F0E371}"/>
            </a:ext>
          </a:extLst>
        </xdr:cNvPr>
        <xdr:cNvSpPr/>
      </xdr:nvSpPr>
      <xdr:spPr>
        <a:xfrm>
          <a:off x="7896225" y="5295899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28</a:t>
          </a:r>
        </a:p>
      </xdr:txBody>
    </xdr:sp>
    <xdr:clientData/>
  </xdr:twoCellAnchor>
  <xdr:twoCellAnchor>
    <xdr:from>
      <xdr:col>17</xdr:col>
      <xdr:colOff>9525</xdr:colOff>
      <xdr:row>23</xdr:row>
      <xdr:rowOff>85724</xdr:rowOff>
    </xdr:from>
    <xdr:to>
      <xdr:col>17</xdr:col>
      <xdr:colOff>541782</xdr:colOff>
      <xdr:row>24</xdr:row>
      <xdr:rowOff>79247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F72F5FF-15BA-4A4E-BBE8-AF5E4EB5D98A}"/>
            </a:ext>
          </a:extLst>
        </xdr:cNvPr>
        <xdr:cNvSpPr/>
      </xdr:nvSpPr>
      <xdr:spPr>
        <a:xfrm>
          <a:off x="7896225" y="5686424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30</a:t>
          </a:r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9525</xdr:colOff>
      <xdr:row>25</xdr:row>
      <xdr:rowOff>104774</xdr:rowOff>
    </xdr:from>
    <xdr:to>
      <xdr:col>17</xdr:col>
      <xdr:colOff>541782</xdr:colOff>
      <xdr:row>26</xdr:row>
      <xdr:rowOff>98297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A2506177-217D-4A38-9B7C-99461E477482}"/>
            </a:ext>
          </a:extLst>
        </xdr:cNvPr>
        <xdr:cNvSpPr/>
      </xdr:nvSpPr>
      <xdr:spPr>
        <a:xfrm>
          <a:off x="7896225" y="6105524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32</a:t>
          </a:r>
        </a:p>
      </xdr:txBody>
    </xdr:sp>
    <xdr:clientData/>
  </xdr:twoCellAnchor>
  <xdr:twoCellAnchor>
    <xdr:from>
      <xdr:col>17</xdr:col>
      <xdr:colOff>0</xdr:colOff>
      <xdr:row>27</xdr:row>
      <xdr:rowOff>95249</xdr:rowOff>
    </xdr:from>
    <xdr:to>
      <xdr:col>17</xdr:col>
      <xdr:colOff>532257</xdr:colOff>
      <xdr:row>28</xdr:row>
      <xdr:rowOff>88772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22328EAE-B790-4DAC-8138-F721F4D91DE3}"/>
            </a:ext>
          </a:extLst>
        </xdr:cNvPr>
        <xdr:cNvSpPr/>
      </xdr:nvSpPr>
      <xdr:spPr>
        <a:xfrm>
          <a:off x="7886700" y="6496049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34</a:t>
          </a:r>
        </a:p>
      </xdr:txBody>
    </xdr:sp>
    <xdr:clientData/>
  </xdr:twoCellAnchor>
  <xdr:twoCellAnchor>
    <xdr:from>
      <xdr:col>17</xdr:col>
      <xdr:colOff>9525</xdr:colOff>
      <xdr:row>31</xdr:row>
      <xdr:rowOff>95249</xdr:rowOff>
    </xdr:from>
    <xdr:to>
      <xdr:col>17</xdr:col>
      <xdr:colOff>541782</xdr:colOff>
      <xdr:row>32</xdr:row>
      <xdr:rowOff>88772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9B4EDE8A-8D9F-43D1-B995-F3604D40D95B}"/>
            </a:ext>
          </a:extLst>
        </xdr:cNvPr>
        <xdr:cNvSpPr/>
      </xdr:nvSpPr>
      <xdr:spPr>
        <a:xfrm>
          <a:off x="7896225" y="7296149"/>
          <a:ext cx="532257" cy="241173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38</a:t>
          </a:r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9525</xdr:colOff>
      <xdr:row>29</xdr:row>
      <xdr:rowOff>95249</xdr:rowOff>
    </xdr:from>
    <xdr:to>
      <xdr:col>17</xdr:col>
      <xdr:colOff>541782</xdr:colOff>
      <xdr:row>30</xdr:row>
      <xdr:rowOff>88772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12A3BB3-DF69-4C5C-9CE6-77DE43F0DBE5}"/>
            </a:ext>
          </a:extLst>
        </xdr:cNvPr>
        <xdr:cNvSpPr/>
      </xdr:nvSpPr>
      <xdr:spPr>
        <a:xfrm>
          <a:off x="7896225" y="6896099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36</a:t>
          </a:r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9525</xdr:colOff>
      <xdr:row>33</xdr:row>
      <xdr:rowOff>85724</xdr:rowOff>
    </xdr:from>
    <xdr:to>
      <xdr:col>17</xdr:col>
      <xdr:colOff>541782</xdr:colOff>
      <xdr:row>34</xdr:row>
      <xdr:rowOff>79247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D3C40334-E973-4290-B13D-E705CB5E852C}"/>
            </a:ext>
          </a:extLst>
        </xdr:cNvPr>
        <xdr:cNvSpPr/>
      </xdr:nvSpPr>
      <xdr:spPr>
        <a:xfrm>
          <a:off x="7896225" y="7734299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40</a:t>
          </a:r>
        </a:p>
      </xdr:txBody>
    </xdr:sp>
    <xdr:clientData/>
  </xdr:twoCellAnchor>
  <xdr:twoCellAnchor>
    <xdr:from>
      <xdr:col>17</xdr:col>
      <xdr:colOff>9525</xdr:colOff>
      <xdr:row>35</xdr:row>
      <xdr:rowOff>114299</xdr:rowOff>
    </xdr:from>
    <xdr:to>
      <xdr:col>17</xdr:col>
      <xdr:colOff>541782</xdr:colOff>
      <xdr:row>36</xdr:row>
      <xdr:rowOff>107822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F4626A67-622F-46DD-8C1F-02FF7C1F0E27}"/>
            </a:ext>
          </a:extLst>
        </xdr:cNvPr>
        <xdr:cNvSpPr/>
      </xdr:nvSpPr>
      <xdr:spPr>
        <a:xfrm>
          <a:off x="7896225" y="8162924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42</a:t>
          </a:r>
        </a:p>
      </xdr:txBody>
    </xdr:sp>
    <xdr:clientData/>
  </xdr:twoCellAnchor>
  <xdr:twoCellAnchor>
    <xdr:from>
      <xdr:col>17</xdr:col>
      <xdr:colOff>0</xdr:colOff>
      <xdr:row>37</xdr:row>
      <xdr:rowOff>104774</xdr:rowOff>
    </xdr:from>
    <xdr:to>
      <xdr:col>17</xdr:col>
      <xdr:colOff>532257</xdr:colOff>
      <xdr:row>38</xdr:row>
      <xdr:rowOff>98297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B2B4A0FA-6D3E-4AED-8E96-75C9765DE1C4}"/>
            </a:ext>
          </a:extLst>
        </xdr:cNvPr>
        <xdr:cNvSpPr/>
      </xdr:nvSpPr>
      <xdr:spPr>
        <a:xfrm>
          <a:off x="7886700" y="8553449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44</a:t>
          </a:r>
        </a:p>
      </xdr:txBody>
    </xdr:sp>
    <xdr:clientData/>
  </xdr:twoCellAnchor>
  <xdr:twoCellAnchor>
    <xdr:from>
      <xdr:col>12</xdr:col>
      <xdr:colOff>455372</xdr:colOff>
      <xdr:row>41</xdr:row>
      <xdr:rowOff>127007</xdr:rowOff>
    </xdr:from>
    <xdr:to>
      <xdr:col>18</xdr:col>
      <xdr:colOff>13120</xdr:colOff>
      <xdr:row>44</xdr:row>
      <xdr:rowOff>115566</xdr:rowOff>
    </xdr:to>
    <xdr:sp macro="" textlink="">
      <xdr:nvSpPr>
        <xdr:cNvPr id="29" name="Arc 28">
          <a:extLst>
            <a:ext uri="{FF2B5EF4-FFF2-40B4-BE49-F238E27FC236}">
              <a16:creationId xmlns:a16="http://schemas.microsoft.com/office/drawing/2014/main" id="{3119EAC2-69F5-4397-A556-78F6432E1FDE}"/>
            </a:ext>
          </a:extLst>
        </xdr:cNvPr>
        <xdr:cNvSpPr/>
      </xdr:nvSpPr>
      <xdr:spPr>
        <a:xfrm rot="5136640">
          <a:off x="5970168" y="7615664"/>
          <a:ext cx="655309" cy="4423195"/>
        </a:xfrm>
        <a:prstGeom prst="arc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600666</xdr:colOff>
      <xdr:row>39</xdr:row>
      <xdr:rowOff>202406</xdr:rowOff>
    </xdr:from>
    <xdr:to>
      <xdr:col>18</xdr:col>
      <xdr:colOff>0</xdr:colOff>
      <xdr:row>43</xdr:row>
      <xdr:rowOff>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80C4415E-C9DE-4CD8-A169-966512235FFD}"/>
            </a:ext>
          </a:extLst>
        </xdr:cNvPr>
        <xdr:cNvCxnSpPr/>
      </xdr:nvCxnSpPr>
      <xdr:spPr>
        <a:xfrm flipH="1">
          <a:off x="8487366" y="9098756"/>
          <a:ext cx="8934" cy="750094"/>
        </a:xfrm>
        <a:prstGeom prst="line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104776</xdr:colOff>
      <xdr:row>13</xdr:row>
      <xdr:rowOff>133349</xdr:rowOff>
    </xdr:from>
    <xdr:to>
      <xdr:col>7</xdr:col>
      <xdr:colOff>590343</xdr:colOff>
      <xdr:row>14</xdr:row>
      <xdr:rowOff>133350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8ACD6A8-6E68-452F-9AB9-BDAB1D52655E}"/>
            </a:ext>
          </a:extLst>
        </xdr:cNvPr>
        <xdr:cNvSpPr/>
      </xdr:nvSpPr>
      <xdr:spPr>
        <a:xfrm>
          <a:off x="3286126" y="3629024"/>
          <a:ext cx="485567" cy="200026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20</a:t>
          </a:r>
        </a:p>
      </xdr:txBody>
    </xdr:sp>
    <xdr:clientData/>
  </xdr:twoCellAnchor>
  <xdr:twoCellAnchor>
    <xdr:from>
      <xdr:col>7</xdr:col>
      <xdr:colOff>104776</xdr:colOff>
      <xdr:row>15</xdr:row>
      <xdr:rowOff>95249</xdr:rowOff>
    </xdr:from>
    <xdr:to>
      <xdr:col>7</xdr:col>
      <xdr:colOff>590343</xdr:colOff>
      <xdr:row>16</xdr:row>
      <xdr:rowOff>69401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32A5FF6B-758B-4637-9EFB-E79155E0BEC9}"/>
            </a:ext>
          </a:extLst>
        </xdr:cNvPr>
        <xdr:cNvSpPr/>
      </xdr:nvSpPr>
      <xdr:spPr>
        <a:xfrm>
          <a:off x="3286126" y="3990974"/>
          <a:ext cx="485567" cy="278952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18</a:t>
          </a:r>
        </a:p>
      </xdr:txBody>
    </xdr:sp>
    <xdr:clientData/>
  </xdr:twoCellAnchor>
  <xdr:twoCellAnchor>
    <xdr:from>
      <xdr:col>7</xdr:col>
      <xdr:colOff>104776</xdr:colOff>
      <xdr:row>17</xdr:row>
      <xdr:rowOff>85724</xdr:rowOff>
    </xdr:from>
    <xdr:to>
      <xdr:col>7</xdr:col>
      <xdr:colOff>590343</xdr:colOff>
      <xdr:row>18</xdr:row>
      <xdr:rowOff>59876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B651DEB-6FFA-4CF9-9ABE-CC4C82D5AA27}"/>
            </a:ext>
          </a:extLst>
        </xdr:cNvPr>
        <xdr:cNvSpPr/>
      </xdr:nvSpPr>
      <xdr:spPr>
        <a:xfrm>
          <a:off x="3286126" y="4486274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16</a:t>
          </a:r>
        </a:p>
        <a:p>
          <a:pPr algn="l"/>
          <a:endParaRPr lang="en-US" sz="1100"/>
        </a:p>
      </xdr:txBody>
    </xdr:sp>
    <xdr:clientData/>
  </xdr:twoCellAnchor>
  <xdr:twoCellAnchor>
    <xdr:from>
      <xdr:col>7</xdr:col>
      <xdr:colOff>104776</xdr:colOff>
      <xdr:row>19</xdr:row>
      <xdr:rowOff>104774</xdr:rowOff>
    </xdr:from>
    <xdr:to>
      <xdr:col>7</xdr:col>
      <xdr:colOff>590343</xdr:colOff>
      <xdr:row>20</xdr:row>
      <xdr:rowOff>78926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7EF89806-B364-42C9-8E9D-E70BB06D997E}"/>
            </a:ext>
          </a:extLst>
        </xdr:cNvPr>
        <xdr:cNvSpPr/>
      </xdr:nvSpPr>
      <xdr:spPr>
        <a:xfrm>
          <a:off x="3286126" y="4905374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14</a:t>
          </a:r>
        </a:p>
      </xdr:txBody>
    </xdr:sp>
    <xdr:clientData/>
  </xdr:twoCellAnchor>
  <xdr:twoCellAnchor>
    <xdr:from>
      <xdr:col>7</xdr:col>
      <xdr:colOff>95251</xdr:colOff>
      <xdr:row>21</xdr:row>
      <xdr:rowOff>95249</xdr:rowOff>
    </xdr:from>
    <xdr:to>
      <xdr:col>7</xdr:col>
      <xdr:colOff>580818</xdr:colOff>
      <xdr:row>22</xdr:row>
      <xdr:rowOff>69401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C8A268CE-2ACD-4F50-B943-2DA6E3AFFF98}"/>
            </a:ext>
          </a:extLst>
        </xdr:cNvPr>
        <xdr:cNvSpPr/>
      </xdr:nvSpPr>
      <xdr:spPr>
        <a:xfrm>
          <a:off x="3276601" y="5295899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12</a:t>
          </a:r>
        </a:p>
      </xdr:txBody>
    </xdr:sp>
    <xdr:clientData/>
  </xdr:twoCellAnchor>
  <xdr:twoCellAnchor>
    <xdr:from>
      <xdr:col>7</xdr:col>
      <xdr:colOff>104776</xdr:colOff>
      <xdr:row>25</xdr:row>
      <xdr:rowOff>95249</xdr:rowOff>
    </xdr:from>
    <xdr:to>
      <xdr:col>7</xdr:col>
      <xdr:colOff>590343</xdr:colOff>
      <xdr:row>26</xdr:row>
      <xdr:rowOff>69401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6BCF8644-BD63-41D9-99D4-969E4B5FD418}"/>
            </a:ext>
          </a:extLst>
        </xdr:cNvPr>
        <xdr:cNvSpPr/>
      </xdr:nvSpPr>
      <xdr:spPr>
        <a:xfrm>
          <a:off x="3286126" y="6095999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8</a:t>
          </a:r>
        </a:p>
      </xdr:txBody>
    </xdr:sp>
    <xdr:clientData/>
  </xdr:twoCellAnchor>
  <xdr:twoCellAnchor>
    <xdr:from>
      <xdr:col>7</xdr:col>
      <xdr:colOff>104776</xdr:colOff>
      <xdr:row>23</xdr:row>
      <xdr:rowOff>95249</xdr:rowOff>
    </xdr:from>
    <xdr:to>
      <xdr:col>7</xdr:col>
      <xdr:colOff>590343</xdr:colOff>
      <xdr:row>24</xdr:row>
      <xdr:rowOff>69401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A7A9D376-7B5C-4318-B0FB-D7C87C240C26}"/>
            </a:ext>
          </a:extLst>
        </xdr:cNvPr>
        <xdr:cNvSpPr/>
      </xdr:nvSpPr>
      <xdr:spPr>
        <a:xfrm>
          <a:off x="3286126" y="5695949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10</a:t>
          </a:r>
        </a:p>
      </xdr:txBody>
    </xdr:sp>
    <xdr:clientData/>
  </xdr:twoCellAnchor>
  <xdr:twoCellAnchor>
    <xdr:from>
      <xdr:col>7</xdr:col>
      <xdr:colOff>104776</xdr:colOff>
      <xdr:row>27</xdr:row>
      <xdr:rowOff>85724</xdr:rowOff>
    </xdr:from>
    <xdr:to>
      <xdr:col>7</xdr:col>
      <xdr:colOff>590343</xdr:colOff>
      <xdr:row>28</xdr:row>
      <xdr:rowOff>59876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52046195-7B6B-4738-81F3-FDCA311F3D3D}"/>
            </a:ext>
          </a:extLst>
        </xdr:cNvPr>
        <xdr:cNvSpPr/>
      </xdr:nvSpPr>
      <xdr:spPr>
        <a:xfrm>
          <a:off x="3286126" y="6486524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104776</xdr:colOff>
      <xdr:row>29</xdr:row>
      <xdr:rowOff>114299</xdr:rowOff>
    </xdr:from>
    <xdr:to>
      <xdr:col>7</xdr:col>
      <xdr:colOff>590343</xdr:colOff>
      <xdr:row>30</xdr:row>
      <xdr:rowOff>88451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EA6F51DF-7705-49F6-B1E2-D0E67E6C3121}"/>
            </a:ext>
          </a:extLst>
        </xdr:cNvPr>
        <xdr:cNvSpPr/>
      </xdr:nvSpPr>
      <xdr:spPr>
        <a:xfrm>
          <a:off x="3286126" y="6915149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95251</xdr:colOff>
      <xdr:row>31</xdr:row>
      <xdr:rowOff>104775</xdr:rowOff>
    </xdr:from>
    <xdr:to>
      <xdr:col>7</xdr:col>
      <xdr:colOff>590154</xdr:colOff>
      <xdr:row>32</xdr:row>
      <xdr:rowOff>69241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1B333B8-B89F-4C95-AB0C-192A1465CAAA}"/>
            </a:ext>
          </a:extLst>
        </xdr:cNvPr>
        <xdr:cNvSpPr/>
      </xdr:nvSpPr>
      <xdr:spPr>
        <a:xfrm>
          <a:off x="3276601" y="7305675"/>
          <a:ext cx="494903" cy="212116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</a:t>
          </a:r>
        </a:p>
        <a:p>
          <a:pPr algn="l"/>
          <a:endParaRPr lang="en-US" sz="1100"/>
        </a:p>
      </xdr:txBody>
    </xdr:sp>
    <xdr:clientData/>
  </xdr:twoCellAnchor>
  <xdr:twoCellAnchor>
    <xdr:from>
      <xdr:col>5</xdr:col>
      <xdr:colOff>847725</xdr:colOff>
      <xdr:row>13</xdr:row>
      <xdr:rowOff>123825</xdr:rowOff>
    </xdr:from>
    <xdr:to>
      <xdr:col>6</xdr:col>
      <xdr:colOff>541782</xdr:colOff>
      <xdr:row>14</xdr:row>
      <xdr:rowOff>117348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E5F434C-DC59-49A8-BFEF-C734FED1EE83}"/>
            </a:ext>
          </a:extLst>
        </xdr:cNvPr>
        <xdr:cNvSpPr/>
      </xdr:nvSpPr>
      <xdr:spPr>
        <a:xfrm>
          <a:off x="2562225" y="3619500"/>
          <a:ext cx="55130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19</a:t>
          </a:r>
        </a:p>
      </xdr:txBody>
    </xdr:sp>
    <xdr:clientData/>
  </xdr:twoCellAnchor>
  <xdr:twoCellAnchor>
    <xdr:from>
      <xdr:col>6</xdr:col>
      <xdr:colOff>0</xdr:colOff>
      <xdr:row>15</xdr:row>
      <xdr:rowOff>85725</xdr:rowOff>
    </xdr:from>
    <xdr:to>
      <xdr:col>6</xdr:col>
      <xdr:colOff>532257</xdr:colOff>
      <xdr:row>16</xdr:row>
      <xdr:rowOff>79248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DA6B1FBD-17CE-4B75-830B-55BDFF6A6D4D}"/>
            </a:ext>
          </a:extLst>
        </xdr:cNvPr>
        <xdr:cNvSpPr/>
      </xdr:nvSpPr>
      <xdr:spPr>
        <a:xfrm>
          <a:off x="2571750" y="3981450"/>
          <a:ext cx="532257" cy="298323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17</a:t>
          </a:r>
        </a:p>
      </xdr:txBody>
    </xdr:sp>
    <xdr:clientData/>
  </xdr:twoCellAnchor>
  <xdr:twoCellAnchor>
    <xdr:from>
      <xdr:col>6</xdr:col>
      <xdr:colOff>0</xdr:colOff>
      <xdr:row>17</xdr:row>
      <xdr:rowOff>76200</xdr:rowOff>
    </xdr:from>
    <xdr:to>
      <xdr:col>6</xdr:col>
      <xdr:colOff>532257</xdr:colOff>
      <xdr:row>18</xdr:row>
      <xdr:rowOff>69723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2C44AD45-4B44-4190-A657-31FF1A713791}"/>
            </a:ext>
          </a:extLst>
        </xdr:cNvPr>
        <xdr:cNvSpPr/>
      </xdr:nvSpPr>
      <xdr:spPr>
        <a:xfrm>
          <a:off x="2571750" y="4476750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15</a:t>
          </a:r>
        </a:p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19</xdr:row>
      <xdr:rowOff>95250</xdr:rowOff>
    </xdr:from>
    <xdr:to>
      <xdr:col>6</xdr:col>
      <xdr:colOff>532257</xdr:colOff>
      <xdr:row>20</xdr:row>
      <xdr:rowOff>88773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469BE3C5-556C-40CE-9688-483C1AAD2F7E}"/>
            </a:ext>
          </a:extLst>
        </xdr:cNvPr>
        <xdr:cNvSpPr/>
      </xdr:nvSpPr>
      <xdr:spPr>
        <a:xfrm>
          <a:off x="2571750" y="4895850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13</a:t>
          </a:r>
        </a:p>
      </xdr:txBody>
    </xdr:sp>
    <xdr:clientData/>
  </xdr:twoCellAnchor>
  <xdr:twoCellAnchor>
    <xdr:from>
      <xdr:col>5</xdr:col>
      <xdr:colOff>847725</xdr:colOff>
      <xdr:row>21</xdr:row>
      <xdr:rowOff>76200</xdr:rowOff>
    </xdr:from>
    <xdr:to>
      <xdr:col>6</xdr:col>
      <xdr:colOff>522732</xdr:colOff>
      <xdr:row>22</xdr:row>
      <xdr:rowOff>79248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E51E6090-AC33-4BD8-AF94-DF95488C3B2B}"/>
            </a:ext>
          </a:extLst>
        </xdr:cNvPr>
        <xdr:cNvSpPr/>
      </xdr:nvSpPr>
      <xdr:spPr>
        <a:xfrm>
          <a:off x="2562225" y="5276850"/>
          <a:ext cx="532257" cy="203073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11</a:t>
          </a:r>
        </a:p>
      </xdr:txBody>
    </xdr:sp>
    <xdr:clientData/>
  </xdr:twoCellAnchor>
  <xdr:twoCellAnchor>
    <xdr:from>
      <xdr:col>6</xdr:col>
      <xdr:colOff>0</xdr:colOff>
      <xdr:row>25</xdr:row>
      <xdr:rowOff>85725</xdr:rowOff>
    </xdr:from>
    <xdr:to>
      <xdr:col>6</xdr:col>
      <xdr:colOff>532257</xdr:colOff>
      <xdr:row>26</xdr:row>
      <xdr:rowOff>79248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1B328517-E4B0-468A-AC94-433AF5F27E1B}"/>
            </a:ext>
          </a:extLst>
        </xdr:cNvPr>
        <xdr:cNvSpPr/>
      </xdr:nvSpPr>
      <xdr:spPr>
        <a:xfrm>
          <a:off x="2571750" y="6086475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7</a:t>
          </a:r>
        </a:p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23</xdr:row>
      <xdr:rowOff>85725</xdr:rowOff>
    </xdr:from>
    <xdr:to>
      <xdr:col>6</xdr:col>
      <xdr:colOff>532257</xdr:colOff>
      <xdr:row>24</xdr:row>
      <xdr:rowOff>79248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A302D199-C322-420A-BDDB-EDD7D1F65728}"/>
            </a:ext>
          </a:extLst>
        </xdr:cNvPr>
        <xdr:cNvSpPr/>
      </xdr:nvSpPr>
      <xdr:spPr>
        <a:xfrm>
          <a:off x="2571750" y="5686425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9</a:t>
          </a:r>
        </a:p>
      </xdr:txBody>
    </xdr:sp>
    <xdr:clientData/>
  </xdr:twoCellAnchor>
  <xdr:twoCellAnchor>
    <xdr:from>
      <xdr:col>6</xdr:col>
      <xdr:colOff>0</xdr:colOff>
      <xdr:row>27</xdr:row>
      <xdr:rowOff>76200</xdr:rowOff>
    </xdr:from>
    <xdr:to>
      <xdr:col>6</xdr:col>
      <xdr:colOff>532257</xdr:colOff>
      <xdr:row>28</xdr:row>
      <xdr:rowOff>69723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D32F7ECA-27C8-4E3F-B4E6-08F5EA623243}"/>
            </a:ext>
          </a:extLst>
        </xdr:cNvPr>
        <xdr:cNvSpPr/>
      </xdr:nvSpPr>
      <xdr:spPr>
        <a:xfrm>
          <a:off x="2571750" y="6477000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6</xdr:col>
      <xdr:colOff>542925</xdr:colOff>
      <xdr:row>30</xdr:row>
      <xdr:rowOff>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2487E114-E039-45C2-BF96-34E2A3EDD7F6}"/>
            </a:ext>
          </a:extLst>
        </xdr:cNvPr>
        <xdr:cNvCxnSpPr/>
      </xdr:nvCxnSpPr>
      <xdr:spPr>
        <a:xfrm>
          <a:off x="1457325" y="7000875"/>
          <a:ext cx="1657350" cy="0"/>
        </a:xfrm>
        <a:prstGeom prst="line">
          <a:avLst/>
        </a:prstGeom>
        <a:ln w="79375" cmpd="tri">
          <a:solidFill>
            <a:schemeClr val="tx1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209550</xdr:colOff>
      <xdr:row>29</xdr:row>
      <xdr:rowOff>76199</xdr:rowOff>
    </xdr:from>
    <xdr:ext cx="260931" cy="216935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6E2A53F0-1B4A-421F-8E0B-CD7311AD917E}"/>
            </a:ext>
          </a:extLst>
        </xdr:cNvPr>
        <xdr:cNvSpPr txBox="1"/>
      </xdr:nvSpPr>
      <xdr:spPr>
        <a:xfrm>
          <a:off x="2781300" y="6877049"/>
          <a:ext cx="260931" cy="2169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126999</xdr:colOff>
      <xdr:row>7</xdr:row>
      <xdr:rowOff>19050</xdr:rowOff>
    </xdr:from>
    <xdr:to>
      <xdr:col>18</xdr:col>
      <xdr:colOff>430211</xdr:colOff>
      <xdr:row>12</xdr:row>
      <xdr:rowOff>66675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487BABC3-FDAC-4851-A20E-8E9EA9A428EE}"/>
            </a:ext>
          </a:extLst>
        </xdr:cNvPr>
        <xdr:cNvSpPr/>
      </xdr:nvSpPr>
      <xdr:spPr>
        <a:xfrm>
          <a:off x="8013699" y="2362200"/>
          <a:ext cx="912812" cy="1000125"/>
        </a:xfrm>
        <a:prstGeom prst="rect">
          <a:avLst/>
        </a:prstGeom>
        <a:solidFill>
          <a:srgbClr val="FFD966"/>
        </a:solidFill>
        <a:ln>
          <a:solidFill>
            <a:srgbClr val="FFC000"/>
          </a:solidFill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174626</xdr:colOff>
      <xdr:row>7</xdr:row>
      <xdr:rowOff>26987</xdr:rowOff>
    </xdr:from>
    <xdr:to>
      <xdr:col>18</xdr:col>
      <xdr:colOff>477838</xdr:colOff>
      <xdr:row>7</xdr:row>
      <xdr:rowOff>138112</xdr:rowOff>
    </xdr:to>
    <xdr:sp macro="" textlink="">
      <xdr:nvSpPr>
        <xdr:cNvPr id="52" name="Frame 51">
          <a:extLst>
            <a:ext uri="{FF2B5EF4-FFF2-40B4-BE49-F238E27FC236}">
              <a16:creationId xmlns:a16="http://schemas.microsoft.com/office/drawing/2014/main" id="{9D298E62-D87D-4D1C-8B30-557E20DC7297}"/>
            </a:ext>
          </a:extLst>
        </xdr:cNvPr>
        <xdr:cNvSpPr/>
      </xdr:nvSpPr>
      <xdr:spPr>
        <a:xfrm flipV="1">
          <a:off x="8061326" y="2370137"/>
          <a:ext cx="912812" cy="111125"/>
        </a:xfrm>
        <a:prstGeom prst="frame">
          <a:avLst/>
        </a:prstGeom>
        <a:solidFill>
          <a:srgbClr val="FFD966"/>
        </a:solidFill>
        <a:ln>
          <a:solidFill>
            <a:srgbClr val="FFC000"/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174625</xdr:colOff>
      <xdr:row>11</xdr:row>
      <xdr:rowOff>142875</xdr:rowOff>
    </xdr:from>
    <xdr:to>
      <xdr:col>18</xdr:col>
      <xdr:colOff>477837</xdr:colOff>
      <xdr:row>12</xdr:row>
      <xdr:rowOff>63500</xdr:rowOff>
    </xdr:to>
    <xdr:sp macro="" textlink="">
      <xdr:nvSpPr>
        <xdr:cNvPr id="53" name="Frame 52">
          <a:extLst>
            <a:ext uri="{FF2B5EF4-FFF2-40B4-BE49-F238E27FC236}">
              <a16:creationId xmlns:a16="http://schemas.microsoft.com/office/drawing/2014/main" id="{293BAD58-6956-4FB8-9564-D17121015CB9}"/>
            </a:ext>
          </a:extLst>
        </xdr:cNvPr>
        <xdr:cNvSpPr/>
      </xdr:nvSpPr>
      <xdr:spPr>
        <a:xfrm flipV="1">
          <a:off x="8061325" y="3248025"/>
          <a:ext cx="912812" cy="111125"/>
        </a:xfrm>
        <a:prstGeom prst="frame">
          <a:avLst/>
        </a:prstGeom>
        <a:solidFill>
          <a:srgbClr val="FFD966"/>
        </a:solidFill>
        <a:ln>
          <a:solidFill>
            <a:srgbClr val="FFC000"/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514349</xdr:colOff>
      <xdr:row>9</xdr:row>
      <xdr:rowOff>158690</xdr:rowOff>
    </xdr:from>
    <xdr:to>
      <xdr:col>17</xdr:col>
      <xdr:colOff>158751</xdr:colOff>
      <xdr:row>10</xdr:row>
      <xdr:rowOff>13909</xdr:rowOff>
    </xdr:to>
    <xdr:sp macro="" textlink="">
      <xdr:nvSpPr>
        <xdr:cNvPr id="54" name="Flowchart: Manual Operation 53">
          <a:extLst>
            <a:ext uri="{FF2B5EF4-FFF2-40B4-BE49-F238E27FC236}">
              <a16:creationId xmlns:a16="http://schemas.microsoft.com/office/drawing/2014/main" id="{5513F06E-BB17-424E-9D51-6369238DC11F}"/>
            </a:ext>
          </a:extLst>
        </xdr:cNvPr>
        <xdr:cNvSpPr/>
      </xdr:nvSpPr>
      <xdr:spPr>
        <a:xfrm rot="5400000">
          <a:off x="7124065" y="2007174"/>
          <a:ext cx="45719" cy="1797052"/>
        </a:xfrm>
        <a:prstGeom prst="flowChartManualOperation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533400</xdr:colOff>
      <xdr:row>11</xdr:row>
      <xdr:rowOff>182566</xdr:rowOff>
    </xdr:from>
    <xdr:to>
      <xdr:col>17</xdr:col>
      <xdr:colOff>158687</xdr:colOff>
      <xdr:row>12</xdr:row>
      <xdr:rowOff>76203</xdr:rowOff>
    </xdr:to>
    <xdr:sp macro="" textlink="">
      <xdr:nvSpPr>
        <xdr:cNvPr id="55" name="Flowchart: Manual Operation 54">
          <a:extLst>
            <a:ext uri="{FF2B5EF4-FFF2-40B4-BE49-F238E27FC236}">
              <a16:creationId xmlns:a16="http://schemas.microsoft.com/office/drawing/2014/main" id="{AADD1D4B-434C-4A71-8635-4CD66E9BDCF1}"/>
            </a:ext>
          </a:extLst>
        </xdr:cNvPr>
        <xdr:cNvSpPr/>
      </xdr:nvSpPr>
      <xdr:spPr>
        <a:xfrm rot="5400000">
          <a:off x="7114350" y="2440816"/>
          <a:ext cx="84137" cy="1777937"/>
        </a:xfrm>
        <a:prstGeom prst="flowChartManualOperation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520702</xdr:colOff>
      <xdr:row>10</xdr:row>
      <xdr:rowOff>19050</xdr:rowOff>
    </xdr:from>
    <xdr:to>
      <xdr:col>20</xdr:col>
      <xdr:colOff>577854</xdr:colOff>
      <xdr:row>10</xdr:row>
      <xdr:rowOff>127000</xdr:rowOff>
    </xdr:to>
    <xdr:sp macro="" textlink="">
      <xdr:nvSpPr>
        <xdr:cNvPr id="56" name="Flowchart: Manual Operation 55">
          <a:extLst>
            <a:ext uri="{FF2B5EF4-FFF2-40B4-BE49-F238E27FC236}">
              <a16:creationId xmlns:a16="http://schemas.microsoft.com/office/drawing/2014/main" id="{629E3180-87F3-4379-A4C3-562276C42904}"/>
            </a:ext>
          </a:extLst>
        </xdr:cNvPr>
        <xdr:cNvSpPr/>
      </xdr:nvSpPr>
      <xdr:spPr>
        <a:xfrm rot="16200000">
          <a:off x="9601203" y="2349499"/>
          <a:ext cx="107950" cy="1276352"/>
        </a:xfrm>
        <a:prstGeom prst="flowChartManualOperation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515939</xdr:colOff>
      <xdr:row>11</xdr:row>
      <xdr:rowOff>174626</xdr:rowOff>
    </xdr:from>
    <xdr:to>
      <xdr:col>21</xdr:col>
      <xdr:colOff>31753</xdr:colOff>
      <xdr:row>12</xdr:row>
      <xdr:rowOff>119126</xdr:rowOff>
    </xdr:to>
    <xdr:sp macro="" textlink="">
      <xdr:nvSpPr>
        <xdr:cNvPr id="57" name="Flowchart: Manual Operation 56">
          <a:extLst>
            <a:ext uri="{FF2B5EF4-FFF2-40B4-BE49-F238E27FC236}">
              <a16:creationId xmlns:a16="http://schemas.microsoft.com/office/drawing/2014/main" id="{DB341CB5-AC49-4C7D-A322-E7445C6D111E}"/>
            </a:ext>
          </a:extLst>
        </xdr:cNvPr>
        <xdr:cNvSpPr/>
      </xdr:nvSpPr>
      <xdr:spPr>
        <a:xfrm rot="16200000">
          <a:off x="10179021" y="2112994"/>
          <a:ext cx="135000" cy="2468564"/>
        </a:xfrm>
        <a:prstGeom prst="flowChartManualOperation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39687</xdr:colOff>
      <xdr:row>10</xdr:row>
      <xdr:rowOff>55563</xdr:rowOff>
    </xdr:from>
    <xdr:to>
      <xdr:col>17</xdr:col>
      <xdr:colOff>134936</xdr:colOff>
      <xdr:row>11</xdr:row>
      <xdr:rowOff>150813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16CFCA8-8A01-468F-AB2A-802FA2D51274}"/>
            </a:ext>
          </a:extLst>
        </xdr:cNvPr>
        <xdr:cNvSpPr/>
      </xdr:nvSpPr>
      <xdr:spPr>
        <a:xfrm>
          <a:off x="7926387" y="2970213"/>
          <a:ext cx="95249" cy="285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542924</xdr:colOff>
      <xdr:row>10</xdr:row>
      <xdr:rowOff>55562</xdr:rowOff>
    </xdr:from>
    <xdr:to>
      <xdr:col>16</xdr:col>
      <xdr:colOff>638173</xdr:colOff>
      <xdr:row>11</xdr:row>
      <xdr:rowOff>150812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F135C63A-80EE-4D28-A74F-E8F06F5053A2}"/>
            </a:ext>
          </a:extLst>
        </xdr:cNvPr>
        <xdr:cNvSpPr/>
      </xdr:nvSpPr>
      <xdr:spPr>
        <a:xfrm>
          <a:off x="6276974" y="2970212"/>
          <a:ext cx="95249" cy="28575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706437</xdr:colOff>
      <xdr:row>10</xdr:row>
      <xdr:rowOff>55562</xdr:rowOff>
    </xdr:from>
    <xdr:to>
      <xdr:col>16</xdr:col>
      <xdr:colOff>801686</xdr:colOff>
      <xdr:row>11</xdr:row>
      <xdr:rowOff>150812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99741DD4-9887-4E61-9C63-B757D4079DF5}"/>
            </a:ext>
          </a:extLst>
        </xdr:cNvPr>
        <xdr:cNvSpPr/>
      </xdr:nvSpPr>
      <xdr:spPr>
        <a:xfrm>
          <a:off x="6440487" y="2970212"/>
          <a:ext cx="95249" cy="28575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500062</xdr:colOff>
      <xdr:row>10</xdr:row>
      <xdr:rowOff>63500</xdr:rowOff>
    </xdr:from>
    <xdr:to>
      <xdr:col>18</xdr:col>
      <xdr:colOff>595311</xdr:colOff>
      <xdr:row>11</xdr:row>
      <xdr:rowOff>158750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A3D8907E-F757-4B71-AD0C-730017EBBBA2}"/>
            </a:ext>
          </a:extLst>
        </xdr:cNvPr>
        <xdr:cNvSpPr/>
      </xdr:nvSpPr>
      <xdr:spPr>
        <a:xfrm>
          <a:off x="8996362" y="2978150"/>
          <a:ext cx="95249" cy="285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342900</xdr:colOff>
      <xdr:row>10</xdr:row>
      <xdr:rowOff>95250</xdr:rowOff>
    </xdr:from>
    <xdr:to>
      <xdr:col>20</xdr:col>
      <xdr:colOff>444499</xdr:colOff>
      <xdr:row>12</xdr:row>
      <xdr:rowOff>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754E3FC-5C15-444E-BAC7-4A5DF01E6587}"/>
            </a:ext>
          </a:extLst>
        </xdr:cNvPr>
        <xdr:cNvSpPr/>
      </xdr:nvSpPr>
      <xdr:spPr>
        <a:xfrm>
          <a:off x="10058400" y="3009900"/>
          <a:ext cx="101599" cy="28575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544513</xdr:colOff>
      <xdr:row>10</xdr:row>
      <xdr:rowOff>95250</xdr:rowOff>
    </xdr:from>
    <xdr:to>
      <xdr:col>21</xdr:col>
      <xdr:colOff>36512</xdr:colOff>
      <xdr:row>12</xdr:row>
      <xdr:rowOff>0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852809F1-576C-4B21-9ADC-352D01BD86E2}"/>
            </a:ext>
          </a:extLst>
        </xdr:cNvPr>
        <xdr:cNvSpPr/>
      </xdr:nvSpPr>
      <xdr:spPr>
        <a:xfrm>
          <a:off x="10260013" y="3009900"/>
          <a:ext cx="1225549" cy="28575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551656</xdr:colOff>
      <xdr:row>44</xdr:row>
      <xdr:rowOff>107156</xdr:rowOff>
    </xdr:from>
    <xdr:to>
      <xdr:col>15</xdr:col>
      <xdr:colOff>2368550</xdr:colOff>
      <xdr:row>44</xdr:row>
      <xdr:rowOff>111125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341E8250-2561-4A72-923A-40B9B0B33C1C}"/>
            </a:ext>
          </a:extLst>
        </xdr:cNvPr>
        <xdr:cNvCxnSpPr/>
      </xdr:nvCxnSpPr>
      <xdr:spPr>
        <a:xfrm flipH="1" flipV="1">
          <a:off x="789781" y="10146506"/>
          <a:ext cx="4941094" cy="3969"/>
        </a:xfrm>
        <a:prstGeom prst="line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135658</xdr:colOff>
      <xdr:row>41</xdr:row>
      <xdr:rowOff>174989</xdr:rowOff>
    </xdr:from>
    <xdr:to>
      <xdr:col>16</xdr:col>
      <xdr:colOff>373783</xdr:colOff>
      <xdr:row>43</xdr:row>
      <xdr:rowOff>294054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D1382F9C-E8A1-4590-8968-612734A2154D}"/>
            </a:ext>
          </a:extLst>
        </xdr:cNvPr>
        <xdr:cNvSpPr/>
      </xdr:nvSpPr>
      <xdr:spPr>
        <a:xfrm rot="5400000">
          <a:off x="5743501" y="9673796"/>
          <a:ext cx="490540" cy="238125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46</a:t>
          </a:r>
        </a:p>
      </xdr:txBody>
    </xdr:sp>
    <xdr:clientData/>
  </xdr:twoCellAnchor>
  <xdr:twoCellAnchor>
    <xdr:from>
      <xdr:col>12</xdr:col>
      <xdr:colOff>190500</xdr:colOff>
      <xdr:row>43</xdr:row>
      <xdr:rowOff>130969</xdr:rowOff>
    </xdr:from>
    <xdr:to>
      <xdr:col>13</xdr:col>
      <xdr:colOff>100679</xdr:colOff>
      <xdr:row>44</xdr:row>
      <xdr:rowOff>32195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9EED59D2-9B2B-4ACD-B24B-2908005AF3DE}"/>
            </a:ext>
          </a:extLst>
        </xdr:cNvPr>
        <xdr:cNvSpPr/>
      </xdr:nvSpPr>
      <xdr:spPr>
        <a:xfrm rot="5400000">
          <a:off x="4040362" y="10025682"/>
          <a:ext cx="91726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48</a:t>
          </a:r>
        </a:p>
      </xdr:txBody>
    </xdr:sp>
    <xdr:clientData/>
  </xdr:twoCellAnchor>
  <xdr:twoCellAnchor>
    <xdr:from>
      <xdr:col>12</xdr:col>
      <xdr:colOff>190500</xdr:colOff>
      <xdr:row>45</xdr:row>
      <xdr:rowOff>47626</xdr:rowOff>
    </xdr:from>
    <xdr:to>
      <xdr:col>13</xdr:col>
      <xdr:colOff>100680</xdr:colOff>
      <xdr:row>47</xdr:row>
      <xdr:rowOff>166691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3E81AD1-9E1C-4780-8F11-AA29F32716C3}"/>
            </a:ext>
          </a:extLst>
        </xdr:cNvPr>
        <xdr:cNvSpPr/>
      </xdr:nvSpPr>
      <xdr:spPr>
        <a:xfrm rot="5400000">
          <a:off x="3836192" y="10527509"/>
          <a:ext cx="500065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47</a:t>
          </a:r>
        </a:p>
        <a:p>
          <a:pPr algn="l"/>
          <a:endParaRPr lang="en-US" sz="1100"/>
        </a:p>
      </xdr:txBody>
    </xdr:sp>
    <xdr:clientData/>
  </xdr:twoCellAnchor>
  <xdr:twoCellAnchor>
    <xdr:from>
      <xdr:col>7</xdr:col>
      <xdr:colOff>38498</xdr:colOff>
      <xdr:row>43</xdr:row>
      <xdr:rowOff>95249</xdr:rowOff>
    </xdr:from>
    <xdr:to>
      <xdr:col>7</xdr:col>
      <xdr:colOff>404816</xdr:colOff>
      <xdr:row>47</xdr:row>
      <xdr:rowOff>107156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3F51294E-745C-4686-B0D4-593346154F2D}"/>
            </a:ext>
          </a:extLst>
        </xdr:cNvPr>
        <xdr:cNvSpPr/>
      </xdr:nvSpPr>
      <xdr:spPr>
        <a:xfrm rot="16200000">
          <a:off x="3016053" y="10147894"/>
          <a:ext cx="773907" cy="366318"/>
        </a:xfrm>
        <a:prstGeom prst="rect">
          <a:avLst/>
        </a:prstGeom>
        <a:solidFill>
          <a:schemeClr val="bg2">
            <a:lumMod val="75000"/>
            <a:alpha val="93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380999</xdr:colOff>
      <xdr:row>43</xdr:row>
      <xdr:rowOff>112314</xdr:rowOff>
    </xdr:from>
    <xdr:to>
      <xdr:col>7</xdr:col>
      <xdr:colOff>463152</xdr:colOff>
      <xdr:row>47</xdr:row>
      <xdr:rowOff>130968</xdr:rowOff>
    </xdr:to>
    <xdr:sp macro="" textlink="">
      <xdr:nvSpPr>
        <xdr:cNvPr id="69" name="Frame 68">
          <a:extLst>
            <a:ext uri="{FF2B5EF4-FFF2-40B4-BE49-F238E27FC236}">
              <a16:creationId xmlns:a16="http://schemas.microsoft.com/office/drawing/2014/main" id="{730449B4-A0CB-409B-A294-630C4EF11F79}"/>
            </a:ext>
          </a:extLst>
        </xdr:cNvPr>
        <xdr:cNvSpPr/>
      </xdr:nvSpPr>
      <xdr:spPr>
        <a:xfrm rot="16200000" flipV="1">
          <a:off x="3213099" y="10310414"/>
          <a:ext cx="780654" cy="82153"/>
        </a:xfrm>
        <a:prstGeom prst="frame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583406</xdr:colOff>
      <xdr:row>43</xdr:row>
      <xdr:rowOff>95249</xdr:rowOff>
    </xdr:from>
    <xdr:to>
      <xdr:col>7</xdr:col>
      <xdr:colOff>58341</xdr:colOff>
      <xdr:row>47</xdr:row>
      <xdr:rowOff>113903</xdr:rowOff>
    </xdr:to>
    <xdr:sp macro="" textlink="">
      <xdr:nvSpPr>
        <xdr:cNvPr id="70" name="Frame 69">
          <a:extLst>
            <a:ext uri="{FF2B5EF4-FFF2-40B4-BE49-F238E27FC236}">
              <a16:creationId xmlns:a16="http://schemas.microsoft.com/office/drawing/2014/main" id="{1D060098-E1FD-4CB3-91B9-B12EFF665AB3}"/>
            </a:ext>
          </a:extLst>
        </xdr:cNvPr>
        <xdr:cNvSpPr/>
      </xdr:nvSpPr>
      <xdr:spPr>
        <a:xfrm rot="16200000" flipV="1">
          <a:off x="2807097" y="10292158"/>
          <a:ext cx="780654" cy="84535"/>
        </a:xfrm>
        <a:prstGeom prst="frame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59533</xdr:colOff>
      <xdr:row>43</xdr:row>
      <xdr:rowOff>0</xdr:rowOff>
    </xdr:from>
    <xdr:to>
      <xdr:col>7</xdr:col>
      <xdr:colOff>345283</xdr:colOff>
      <xdr:row>43</xdr:row>
      <xdr:rowOff>59529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D3B9073-1D1C-4F9C-89D3-1D66EAA2B4F8}"/>
            </a:ext>
          </a:extLst>
        </xdr:cNvPr>
        <xdr:cNvSpPr/>
      </xdr:nvSpPr>
      <xdr:spPr>
        <a:xfrm rot="16200000">
          <a:off x="3353993" y="9735740"/>
          <a:ext cx="59529" cy="285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86124</xdr:colOff>
      <xdr:row>47</xdr:row>
      <xdr:rowOff>154780</xdr:rowOff>
    </xdr:from>
    <xdr:to>
      <xdr:col>7</xdr:col>
      <xdr:colOff>371874</xdr:colOff>
      <xdr:row>48</xdr:row>
      <xdr:rowOff>23810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88BCD8E1-DFBE-4EB7-A276-1543A659E9AC}"/>
            </a:ext>
          </a:extLst>
        </xdr:cNvPr>
        <xdr:cNvSpPr/>
      </xdr:nvSpPr>
      <xdr:spPr>
        <a:xfrm rot="16200000">
          <a:off x="3380584" y="10652520"/>
          <a:ext cx="59530" cy="285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83345</xdr:colOff>
      <xdr:row>48</xdr:row>
      <xdr:rowOff>83344</xdr:rowOff>
    </xdr:from>
    <xdr:to>
      <xdr:col>7</xdr:col>
      <xdr:colOff>369095</xdr:colOff>
      <xdr:row>48</xdr:row>
      <xdr:rowOff>178593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24B06B9C-1E1B-4C89-BDE7-0DC44345D658}"/>
            </a:ext>
          </a:extLst>
        </xdr:cNvPr>
        <xdr:cNvSpPr/>
      </xdr:nvSpPr>
      <xdr:spPr>
        <a:xfrm rot="16200000">
          <a:off x="3359945" y="10789444"/>
          <a:ext cx="95249" cy="28575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83345</xdr:colOff>
      <xdr:row>48</xdr:row>
      <xdr:rowOff>226219</xdr:rowOff>
    </xdr:from>
    <xdr:to>
      <xdr:col>7</xdr:col>
      <xdr:colOff>369095</xdr:colOff>
      <xdr:row>48</xdr:row>
      <xdr:rowOff>321468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8EBD6F0E-534E-42D2-B2E5-4BEFAB1F50B7}"/>
            </a:ext>
          </a:extLst>
        </xdr:cNvPr>
        <xdr:cNvSpPr/>
      </xdr:nvSpPr>
      <xdr:spPr>
        <a:xfrm rot="16200000">
          <a:off x="3407569" y="10846595"/>
          <a:ext cx="1" cy="285748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402765</xdr:colOff>
      <xdr:row>43</xdr:row>
      <xdr:rowOff>0</xdr:rowOff>
    </xdr:from>
    <xdr:to>
      <xdr:col>7</xdr:col>
      <xdr:colOff>466328</xdr:colOff>
      <xdr:row>43</xdr:row>
      <xdr:rowOff>85329</xdr:rowOff>
    </xdr:to>
    <xdr:sp macro="" textlink="">
      <xdr:nvSpPr>
        <xdr:cNvPr id="75" name="Flowchart: Manual Operation 74">
          <a:extLst>
            <a:ext uri="{FF2B5EF4-FFF2-40B4-BE49-F238E27FC236}">
              <a16:creationId xmlns:a16="http://schemas.microsoft.com/office/drawing/2014/main" id="{FA0D943F-0DA8-4DCA-A43B-2260FBA73C55}"/>
            </a:ext>
          </a:extLst>
        </xdr:cNvPr>
        <xdr:cNvSpPr/>
      </xdr:nvSpPr>
      <xdr:spPr>
        <a:xfrm rot="10800000">
          <a:off x="3584115" y="9848850"/>
          <a:ext cx="63563" cy="85329"/>
        </a:xfrm>
        <a:prstGeom prst="flowChartManualOperation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571500</xdr:colOff>
      <xdr:row>43</xdr:row>
      <xdr:rowOff>0</xdr:rowOff>
    </xdr:from>
    <xdr:to>
      <xdr:col>7</xdr:col>
      <xdr:colOff>27845</xdr:colOff>
      <xdr:row>43</xdr:row>
      <xdr:rowOff>95187</xdr:rowOff>
    </xdr:to>
    <xdr:sp macro="" textlink="">
      <xdr:nvSpPr>
        <xdr:cNvPr id="76" name="Flowchart: Manual Operation 75">
          <a:extLst>
            <a:ext uri="{FF2B5EF4-FFF2-40B4-BE49-F238E27FC236}">
              <a16:creationId xmlns:a16="http://schemas.microsoft.com/office/drawing/2014/main" id="{25678841-FE75-4C70-807A-2F18A6DAC52C}"/>
            </a:ext>
          </a:extLst>
        </xdr:cNvPr>
        <xdr:cNvSpPr/>
      </xdr:nvSpPr>
      <xdr:spPr>
        <a:xfrm rot="10800000">
          <a:off x="3143250" y="9848850"/>
          <a:ext cx="65945" cy="95187"/>
        </a:xfrm>
        <a:prstGeom prst="flowChartManualOperation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595313</xdr:colOff>
      <xdr:row>47</xdr:row>
      <xdr:rowOff>130968</xdr:rowOff>
    </xdr:from>
    <xdr:to>
      <xdr:col>7</xdr:col>
      <xdr:colOff>51658</xdr:colOff>
      <xdr:row>48</xdr:row>
      <xdr:rowOff>321405</xdr:rowOff>
    </xdr:to>
    <xdr:sp macro="" textlink="">
      <xdr:nvSpPr>
        <xdr:cNvPr id="77" name="Flowchart: Manual Operation 76">
          <a:extLst>
            <a:ext uri="{FF2B5EF4-FFF2-40B4-BE49-F238E27FC236}">
              <a16:creationId xmlns:a16="http://schemas.microsoft.com/office/drawing/2014/main" id="{26F26E4F-3314-47E0-9A8E-D54EDBC6AB80}"/>
            </a:ext>
          </a:extLst>
        </xdr:cNvPr>
        <xdr:cNvSpPr/>
      </xdr:nvSpPr>
      <xdr:spPr>
        <a:xfrm>
          <a:off x="3167063" y="10741818"/>
          <a:ext cx="65945" cy="247587"/>
        </a:xfrm>
        <a:prstGeom prst="flowChartManualOperation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404812</xdr:colOff>
      <xdr:row>47</xdr:row>
      <xdr:rowOff>142875</xdr:rowOff>
    </xdr:from>
    <xdr:to>
      <xdr:col>7</xdr:col>
      <xdr:colOff>468375</xdr:colOff>
      <xdr:row>48</xdr:row>
      <xdr:rowOff>333312</xdr:rowOff>
    </xdr:to>
    <xdr:sp macro="" textlink="">
      <xdr:nvSpPr>
        <xdr:cNvPr id="78" name="Flowchart: Manual Operation 77">
          <a:extLst>
            <a:ext uri="{FF2B5EF4-FFF2-40B4-BE49-F238E27FC236}">
              <a16:creationId xmlns:a16="http://schemas.microsoft.com/office/drawing/2014/main" id="{DDCE468E-AA15-4600-A1BC-8A01C7B335C6}"/>
            </a:ext>
          </a:extLst>
        </xdr:cNvPr>
        <xdr:cNvSpPr/>
      </xdr:nvSpPr>
      <xdr:spPr>
        <a:xfrm>
          <a:off x="3586162" y="10753725"/>
          <a:ext cx="63563" cy="238062"/>
        </a:xfrm>
        <a:prstGeom prst="flowChartManualOperation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520253</xdr:colOff>
      <xdr:row>43</xdr:row>
      <xdr:rowOff>28579</xdr:rowOff>
    </xdr:from>
    <xdr:to>
      <xdr:col>5</xdr:col>
      <xdr:colOff>142875</xdr:colOff>
      <xdr:row>44</xdr:row>
      <xdr:rowOff>34580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CD6C90B7-1915-4AD7-B367-24607D7C7051}"/>
            </a:ext>
          </a:extLst>
        </xdr:cNvPr>
        <xdr:cNvSpPr/>
      </xdr:nvSpPr>
      <xdr:spPr>
        <a:xfrm rot="5400000">
          <a:off x="1685876" y="9902431"/>
          <a:ext cx="196501" cy="146497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t"/>
        <a:lstStyle/>
        <a:p>
          <a:pPr algn="l"/>
          <a:r>
            <a:rPr lang="en-US" sz="1100"/>
            <a:t>Rework</a:t>
          </a:r>
        </a:p>
      </xdr:txBody>
    </xdr:sp>
    <xdr:clientData/>
  </xdr:twoCellAnchor>
  <xdr:twoCellAnchor>
    <xdr:from>
      <xdr:col>4</xdr:col>
      <xdr:colOff>523875</xdr:colOff>
      <xdr:row>45</xdr:row>
      <xdr:rowOff>66677</xdr:rowOff>
    </xdr:from>
    <xdr:to>
      <xdr:col>5</xdr:col>
      <xdr:colOff>142875</xdr:colOff>
      <xdr:row>48</xdr:row>
      <xdr:rowOff>28578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25AECD0-8E35-4DEA-B597-1BCC501EB76A}"/>
            </a:ext>
          </a:extLst>
        </xdr:cNvPr>
        <xdr:cNvSpPr/>
      </xdr:nvSpPr>
      <xdr:spPr>
        <a:xfrm rot="5400000">
          <a:off x="1519237" y="10491790"/>
          <a:ext cx="533401" cy="1428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t"/>
        <a:lstStyle/>
        <a:p>
          <a:pPr algn="l"/>
          <a:r>
            <a:rPr lang="en-US" sz="1100"/>
            <a:t>Rework</a:t>
          </a:r>
        </a:p>
      </xdr:txBody>
    </xdr:sp>
    <xdr:clientData/>
  </xdr:twoCellAnchor>
  <xdr:twoCellAnchor>
    <xdr:from>
      <xdr:col>10</xdr:col>
      <xdr:colOff>161925</xdr:colOff>
      <xdr:row>43</xdr:row>
      <xdr:rowOff>76199</xdr:rowOff>
    </xdr:from>
    <xdr:to>
      <xdr:col>11</xdr:col>
      <xdr:colOff>95250</xdr:colOff>
      <xdr:row>44</xdr:row>
      <xdr:rowOff>34581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C1A5BBC0-8A19-45EF-8DD6-FD9A012FA1B2}"/>
            </a:ext>
          </a:extLst>
        </xdr:cNvPr>
        <xdr:cNvSpPr/>
      </xdr:nvSpPr>
      <xdr:spPr>
        <a:xfrm rot="5400000">
          <a:off x="4011784" y="9999490"/>
          <a:ext cx="148882" cy="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t"/>
        <a:lstStyle/>
        <a:p>
          <a:pPr algn="l"/>
          <a:r>
            <a:rPr lang="en-US" sz="1100"/>
            <a:t>Rework</a:t>
          </a:r>
        </a:p>
      </xdr:txBody>
    </xdr:sp>
    <xdr:clientData/>
  </xdr:twoCellAnchor>
  <xdr:twoCellAnchor>
    <xdr:from>
      <xdr:col>10</xdr:col>
      <xdr:colOff>161925</xdr:colOff>
      <xdr:row>45</xdr:row>
      <xdr:rowOff>57150</xdr:rowOff>
    </xdr:from>
    <xdr:to>
      <xdr:col>11</xdr:col>
      <xdr:colOff>95250</xdr:colOff>
      <xdr:row>47</xdr:row>
      <xdr:rowOff>171450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171F24DA-E330-4D42-8D4F-E0A03B1E47C3}"/>
            </a:ext>
          </a:extLst>
        </xdr:cNvPr>
        <xdr:cNvSpPr/>
      </xdr:nvSpPr>
      <xdr:spPr>
        <a:xfrm rot="5400000">
          <a:off x="3838575" y="10534650"/>
          <a:ext cx="495300" cy="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t"/>
        <a:lstStyle/>
        <a:p>
          <a:pPr algn="l"/>
          <a:r>
            <a:rPr lang="en-US" sz="1100"/>
            <a:t>Rework</a:t>
          </a:r>
        </a:p>
      </xdr:txBody>
    </xdr:sp>
    <xdr:clientData/>
  </xdr:twoCellAnchor>
  <xdr:twoCellAnchor>
    <xdr:from>
      <xdr:col>5</xdr:col>
      <xdr:colOff>838200</xdr:colOff>
      <xdr:row>33</xdr:row>
      <xdr:rowOff>104775</xdr:rowOff>
    </xdr:from>
    <xdr:to>
      <xdr:col>7</xdr:col>
      <xdr:colOff>285750</xdr:colOff>
      <xdr:row>36</xdr:row>
      <xdr:rowOff>123825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13A07B3D-E622-43EF-BA3C-1854A2E21013}"/>
            </a:ext>
          </a:extLst>
        </xdr:cNvPr>
        <xdr:cNvSpPr/>
      </xdr:nvSpPr>
      <xdr:spPr>
        <a:xfrm>
          <a:off x="2552700" y="7753350"/>
          <a:ext cx="914400" cy="619125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182880" rIns="91440" rtlCol="0" anchor="t"/>
        <a:lstStyle/>
        <a:p>
          <a:pPr algn="l"/>
          <a:r>
            <a:rPr lang="en-US" sz="1100"/>
            <a:t>BULS </a:t>
          </a:r>
        </a:p>
        <a:p>
          <a:pPr algn="l"/>
          <a:r>
            <a:rPr lang="en-US" sz="1100"/>
            <a:t>DESK</a:t>
          </a:r>
        </a:p>
      </xdr:txBody>
    </xdr:sp>
    <xdr:clientData/>
  </xdr:twoCellAnchor>
  <xdr:twoCellAnchor>
    <xdr:from>
      <xdr:col>5</xdr:col>
      <xdr:colOff>847726</xdr:colOff>
      <xdr:row>32</xdr:row>
      <xdr:rowOff>180975</xdr:rowOff>
    </xdr:from>
    <xdr:to>
      <xdr:col>6</xdr:col>
      <xdr:colOff>238126</xdr:colOff>
      <xdr:row>33</xdr:row>
      <xdr:rowOff>76200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C6A8D4C1-36F4-4115-8D22-DFFBE6C8915E}"/>
            </a:ext>
          </a:extLst>
        </xdr:cNvPr>
        <xdr:cNvSpPr/>
      </xdr:nvSpPr>
      <xdr:spPr>
        <a:xfrm>
          <a:off x="2562226" y="7629525"/>
          <a:ext cx="247650" cy="9525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847725</xdr:colOff>
      <xdr:row>32</xdr:row>
      <xdr:rowOff>28575</xdr:rowOff>
    </xdr:from>
    <xdr:to>
      <xdr:col>6</xdr:col>
      <xdr:colOff>238125</xdr:colOff>
      <xdr:row>32</xdr:row>
      <xdr:rowOff>142875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3D3C336E-5B19-4D42-8DCF-65C392682E91}"/>
            </a:ext>
          </a:extLst>
        </xdr:cNvPr>
        <xdr:cNvSpPr/>
      </xdr:nvSpPr>
      <xdr:spPr>
        <a:xfrm>
          <a:off x="2562225" y="7477125"/>
          <a:ext cx="247650" cy="11430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847725</xdr:colOff>
      <xdr:row>31</xdr:row>
      <xdr:rowOff>104775</xdr:rowOff>
    </xdr:from>
    <xdr:to>
      <xdr:col>6</xdr:col>
      <xdr:colOff>238125</xdr:colOff>
      <xdr:row>32</xdr:row>
      <xdr:rowOff>0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C99E4BD3-20C7-4C0A-8D38-F3BC20D5C294}"/>
            </a:ext>
          </a:extLst>
        </xdr:cNvPr>
        <xdr:cNvSpPr/>
      </xdr:nvSpPr>
      <xdr:spPr>
        <a:xfrm>
          <a:off x="2562225" y="7305675"/>
          <a:ext cx="247650" cy="142875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333375</xdr:colOff>
      <xdr:row>33</xdr:row>
      <xdr:rowOff>180975</xdr:rowOff>
    </xdr:from>
    <xdr:to>
      <xdr:col>7</xdr:col>
      <xdr:colOff>447675</xdr:colOff>
      <xdr:row>34</xdr:row>
      <xdr:rowOff>209550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FFFC8A5-CB27-4479-91FA-1F55A48DF9A5}"/>
            </a:ext>
          </a:extLst>
        </xdr:cNvPr>
        <xdr:cNvSpPr/>
      </xdr:nvSpPr>
      <xdr:spPr>
        <a:xfrm rot="5400000">
          <a:off x="3462337" y="7881938"/>
          <a:ext cx="219075" cy="1143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485775</xdr:colOff>
      <xdr:row>33</xdr:row>
      <xdr:rowOff>180975</xdr:rowOff>
    </xdr:from>
    <xdr:to>
      <xdr:col>7</xdr:col>
      <xdr:colOff>600075</xdr:colOff>
      <xdr:row>34</xdr:row>
      <xdr:rowOff>209550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28AE5B71-A1D4-48F5-9F62-A9E34A5A2A31}"/>
            </a:ext>
          </a:extLst>
        </xdr:cNvPr>
        <xdr:cNvSpPr/>
      </xdr:nvSpPr>
      <xdr:spPr>
        <a:xfrm rot="5400000">
          <a:off x="3614737" y="7881938"/>
          <a:ext cx="219075" cy="11430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19050</xdr:colOff>
      <xdr:row>33</xdr:row>
      <xdr:rowOff>180975</xdr:rowOff>
    </xdr:from>
    <xdr:to>
      <xdr:col>8</xdr:col>
      <xdr:colOff>133350</xdr:colOff>
      <xdr:row>34</xdr:row>
      <xdr:rowOff>209550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E15BDCE-D8B4-49AF-871D-45E806F8550B}"/>
            </a:ext>
          </a:extLst>
        </xdr:cNvPr>
        <xdr:cNvSpPr/>
      </xdr:nvSpPr>
      <xdr:spPr>
        <a:xfrm rot="5400000">
          <a:off x="3757612" y="7881938"/>
          <a:ext cx="219075" cy="114300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847725</xdr:colOff>
      <xdr:row>33</xdr:row>
      <xdr:rowOff>114300</xdr:rowOff>
    </xdr:from>
    <xdr:to>
      <xdr:col>6</xdr:col>
      <xdr:colOff>47625</xdr:colOff>
      <xdr:row>36</xdr:row>
      <xdr:rowOff>104775</xdr:rowOff>
    </xdr:to>
    <xdr:sp macro="" textlink="">
      <xdr:nvSpPr>
        <xdr:cNvPr id="90" name="Frame 89">
          <a:extLst>
            <a:ext uri="{FF2B5EF4-FFF2-40B4-BE49-F238E27FC236}">
              <a16:creationId xmlns:a16="http://schemas.microsoft.com/office/drawing/2014/main" id="{8792FCB9-5566-46FC-94FE-F670FD9DD9A6}"/>
            </a:ext>
          </a:extLst>
        </xdr:cNvPr>
        <xdr:cNvSpPr/>
      </xdr:nvSpPr>
      <xdr:spPr>
        <a:xfrm flipH="1">
          <a:off x="2562225" y="7762875"/>
          <a:ext cx="57150" cy="590550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857249</xdr:colOff>
      <xdr:row>36</xdr:row>
      <xdr:rowOff>57150</xdr:rowOff>
    </xdr:from>
    <xdr:to>
      <xdr:col>7</xdr:col>
      <xdr:colOff>257174</xdr:colOff>
      <xdr:row>36</xdr:row>
      <xdr:rowOff>114300</xdr:rowOff>
    </xdr:to>
    <xdr:sp macro="" textlink="">
      <xdr:nvSpPr>
        <xdr:cNvPr id="91" name="Frame 90">
          <a:extLst>
            <a:ext uri="{FF2B5EF4-FFF2-40B4-BE49-F238E27FC236}">
              <a16:creationId xmlns:a16="http://schemas.microsoft.com/office/drawing/2014/main" id="{401C9B2A-90CA-4990-92DF-166B754179C4}"/>
            </a:ext>
          </a:extLst>
        </xdr:cNvPr>
        <xdr:cNvSpPr/>
      </xdr:nvSpPr>
      <xdr:spPr>
        <a:xfrm rot="5400000" flipH="1">
          <a:off x="2976562" y="7900987"/>
          <a:ext cx="57150" cy="866775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219075</xdr:colOff>
      <xdr:row>35</xdr:row>
      <xdr:rowOff>19049</xdr:rowOff>
    </xdr:from>
    <xdr:to>
      <xdr:col>7</xdr:col>
      <xdr:colOff>266700</xdr:colOff>
      <xdr:row>36</xdr:row>
      <xdr:rowOff>95249</xdr:rowOff>
    </xdr:to>
    <xdr:sp macro="" textlink="">
      <xdr:nvSpPr>
        <xdr:cNvPr id="92" name="Frame 91">
          <a:extLst>
            <a:ext uri="{FF2B5EF4-FFF2-40B4-BE49-F238E27FC236}">
              <a16:creationId xmlns:a16="http://schemas.microsoft.com/office/drawing/2014/main" id="{80AC8FA7-77D2-48D4-B35D-45C547B30C13}"/>
            </a:ext>
          </a:extLst>
        </xdr:cNvPr>
        <xdr:cNvSpPr/>
      </xdr:nvSpPr>
      <xdr:spPr>
        <a:xfrm flipH="1">
          <a:off x="3400425" y="8067674"/>
          <a:ext cx="47625" cy="276225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238125</xdr:colOff>
      <xdr:row>33</xdr:row>
      <xdr:rowOff>114300</xdr:rowOff>
    </xdr:from>
    <xdr:to>
      <xdr:col>7</xdr:col>
      <xdr:colOff>276225</xdr:colOff>
      <xdr:row>33</xdr:row>
      <xdr:rowOff>171450</xdr:rowOff>
    </xdr:to>
    <xdr:sp macro="" textlink="">
      <xdr:nvSpPr>
        <xdr:cNvPr id="93" name="Frame 92">
          <a:extLst>
            <a:ext uri="{FF2B5EF4-FFF2-40B4-BE49-F238E27FC236}">
              <a16:creationId xmlns:a16="http://schemas.microsoft.com/office/drawing/2014/main" id="{91260152-AA19-4B38-91E6-4572643F5B40}"/>
            </a:ext>
          </a:extLst>
        </xdr:cNvPr>
        <xdr:cNvSpPr/>
      </xdr:nvSpPr>
      <xdr:spPr>
        <a:xfrm rot="5400000" flipH="1">
          <a:off x="3105150" y="7467600"/>
          <a:ext cx="57150" cy="647700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828675</xdr:colOff>
      <xdr:row>31</xdr:row>
      <xdr:rowOff>114300</xdr:rowOff>
    </xdr:from>
    <xdr:to>
      <xdr:col>6</xdr:col>
      <xdr:colOff>17144</xdr:colOff>
      <xdr:row>33</xdr:row>
      <xdr:rowOff>114300</xdr:rowOff>
    </xdr:to>
    <xdr:sp macro="" textlink="">
      <xdr:nvSpPr>
        <xdr:cNvPr id="94" name="Frame 93">
          <a:extLst>
            <a:ext uri="{FF2B5EF4-FFF2-40B4-BE49-F238E27FC236}">
              <a16:creationId xmlns:a16="http://schemas.microsoft.com/office/drawing/2014/main" id="{B495CDA5-53A9-4B77-9C7C-EDD3CB9F5E57}"/>
            </a:ext>
          </a:extLst>
        </xdr:cNvPr>
        <xdr:cNvSpPr/>
      </xdr:nvSpPr>
      <xdr:spPr>
        <a:xfrm flipH="1">
          <a:off x="2543175" y="7315200"/>
          <a:ext cx="45719" cy="447675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228600</xdr:colOff>
      <xdr:row>31</xdr:row>
      <xdr:rowOff>104775</xdr:rowOff>
    </xdr:from>
    <xdr:to>
      <xdr:col>6</xdr:col>
      <xdr:colOff>274319</xdr:colOff>
      <xdr:row>33</xdr:row>
      <xdr:rowOff>104775</xdr:rowOff>
    </xdr:to>
    <xdr:sp macro="" textlink="">
      <xdr:nvSpPr>
        <xdr:cNvPr id="95" name="Frame 94">
          <a:extLst>
            <a:ext uri="{FF2B5EF4-FFF2-40B4-BE49-F238E27FC236}">
              <a16:creationId xmlns:a16="http://schemas.microsoft.com/office/drawing/2014/main" id="{8DB10521-A289-4779-8C46-E37B593616B3}"/>
            </a:ext>
          </a:extLst>
        </xdr:cNvPr>
        <xdr:cNvSpPr/>
      </xdr:nvSpPr>
      <xdr:spPr>
        <a:xfrm flipH="1">
          <a:off x="2800350" y="7305675"/>
          <a:ext cx="45719" cy="447675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299085</xdr:colOff>
      <xdr:row>35</xdr:row>
      <xdr:rowOff>5715</xdr:rowOff>
    </xdr:from>
    <xdr:to>
      <xdr:col>8</xdr:col>
      <xdr:colOff>127635</xdr:colOff>
      <xdr:row>35</xdr:row>
      <xdr:rowOff>51434</xdr:rowOff>
    </xdr:to>
    <xdr:sp macro="" textlink="">
      <xdr:nvSpPr>
        <xdr:cNvPr id="96" name="Frame 95">
          <a:extLst>
            <a:ext uri="{FF2B5EF4-FFF2-40B4-BE49-F238E27FC236}">
              <a16:creationId xmlns:a16="http://schemas.microsoft.com/office/drawing/2014/main" id="{1BDDBCCA-CE07-43DE-AEE1-4F2FB53EC271}"/>
            </a:ext>
          </a:extLst>
        </xdr:cNvPr>
        <xdr:cNvSpPr/>
      </xdr:nvSpPr>
      <xdr:spPr>
        <a:xfrm rot="5400000" flipH="1">
          <a:off x="3676650" y="7858125"/>
          <a:ext cx="45719" cy="438150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299085</xdr:colOff>
      <xdr:row>33</xdr:row>
      <xdr:rowOff>139065</xdr:rowOff>
    </xdr:from>
    <xdr:to>
      <xdr:col>8</xdr:col>
      <xdr:colOff>127635</xdr:colOff>
      <xdr:row>33</xdr:row>
      <xdr:rowOff>184784</xdr:rowOff>
    </xdr:to>
    <xdr:sp macro="" textlink="">
      <xdr:nvSpPr>
        <xdr:cNvPr id="97" name="Frame 96">
          <a:extLst>
            <a:ext uri="{FF2B5EF4-FFF2-40B4-BE49-F238E27FC236}">
              <a16:creationId xmlns:a16="http://schemas.microsoft.com/office/drawing/2014/main" id="{A6BEFBDB-E230-4D80-96A5-68709713C46E}"/>
            </a:ext>
          </a:extLst>
        </xdr:cNvPr>
        <xdr:cNvSpPr/>
      </xdr:nvSpPr>
      <xdr:spPr>
        <a:xfrm rot="5400000" flipH="1">
          <a:off x="3676650" y="7591425"/>
          <a:ext cx="45719" cy="438150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495300</xdr:colOff>
      <xdr:row>34</xdr:row>
      <xdr:rowOff>161925</xdr:rowOff>
    </xdr:from>
    <xdr:to>
      <xdr:col>4</xdr:col>
      <xdr:colOff>333375</xdr:colOff>
      <xdr:row>34</xdr:row>
      <xdr:rowOff>171450</xdr:rowOff>
    </xdr:to>
    <xdr:cxnSp macro="">
      <xdr:nvCxnSpPr>
        <xdr:cNvPr id="98" name="Straight Arrow Connector 97">
          <a:extLst>
            <a:ext uri="{FF2B5EF4-FFF2-40B4-BE49-F238E27FC236}">
              <a16:creationId xmlns:a16="http://schemas.microsoft.com/office/drawing/2014/main" id="{B6FCE625-D9AA-4744-9AF5-CDA40EB0092B}"/>
            </a:ext>
          </a:extLst>
        </xdr:cNvPr>
        <xdr:cNvCxnSpPr/>
      </xdr:nvCxnSpPr>
      <xdr:spPr>
        <a:xfrm flipV="1">
          <a:off x="733425" y="8010525"/>
          <a:ext cx="981075" cy="9525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328116</xdr:colOff>
      <xdr:row>33</xdr:row>
      <xdr:rowOff>95250</xdr:rowOff>
    </xdr:from>
    <xdr:ext cx="719634" cy="3086100"/>
    <xdr:sp macro="" textlink="">
      <xdr:nvSpPr>
        <xdr:cNvPr id="99" name="Frame 98">
          <a:extLst>
            <a:ext uri="{FF2B5EF4-FFF2-40B4-BE49-F238E27FC236}">
              <a16:creationId xmlns:a16="http://schemas.microsoft.com/office/drawing/2014/main" id="{5AF67998-7295-42B5-975A-8422232CBF4C}"/>
            </a:ext>
          </a:extLst>
        </xdr:cNvPr>
        <xdr:cNvSpPr/>
      </xdr:nvSpPr>
      <xdr:spPr>
        <a:xfrm>
          <a:off x="242391" y="7743825"/>
          <a:ext cx="719634" cy="3086100"/>
        </a:xfrm>
        <a:prstGeom prst="frame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vert" wrap="none" lIns="0" tIns="1005840" rIns="182880" rtlCol="0" anchor="t">
          <a:noAutofit/>
        </a:bodyPr>
        <a:lstStyle/>
        <a:p>
          <a:pPr algn="l"/>
          <a:r>
            <a:rPr lang="en-US" sz="1100">
              <a:solidFill>
                <a:schemeClr val="tx1"/>
              </a:solidFill>
              <a:effectLst>
                <a:outerShdw blurRad="342900" dist="50800" dir="5400000" sx="97000" sy="97000" algn="ctr" rotWithShape="0">
                  <a:schemeClr val="accent2">
                    <a:lumMod val="75000"/>
                  </a:schemeClr>
                </a:outerShdw>
              </a:effectLst>
            </a:rPr>
            <a:t>shipping</a:t>
          </a:r>
          <a:r>
            <a:rPr lang="en-US" sz="1100">
              <a:solidFill>
                <a:schemeClr val="tx1"/>
              </a:solidFill>
              <a:effectLst>
                <a:outerShdw blurRad="76200" dist="50800" dir="5400000" algn="ctr" rotWithShape="0">
                  <a:schemeClr val="accent2">
                    <a:lumMod val="75000"/>
                  </a:schemeClr>
                </a:outerShdw>
              </a:effectLst>
            </a:rPr>
            <a:t> area</a:t>
          </a:r>
        </a:p>
      </xdr:txBody>
    </xdr:sp>
    <xdr:clientData/>
  </xdr:oneCellAnchor>
  <xdr:twoCellAnchor>
    <xdr:from>
      <xdr:col>17</xdr:col>
      <xdr:colOff>373604</xdr:colOff>
      <xdr:row>39</xdr:row>
      <xdr:rowOff>257786</xdr:rowOff>
    </xdr:from>
    <xdr:to>
      <xdr:col>19</xdr:col>
      <xdr:colOff>378098</xdr:colOff>
      <xdr:row>48</xdr:row>
      <xdr:rowOff>69816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6CFE9BCD-C5D1-49E8-8CFF-7DB2FA6B266F}"/>
            </a:ext>
          </a:extLst>
        </xdr:cNvPr>
        <xdr:cNvSpPr/>
      </xdr:nvSpPr>
      <xdr:spPr>
        <a:xfrm rot="2071367">
          <a:off x="8260304" y="9135086"/>
          <a:ext cx="1223694" cy="1736080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5760" tIns="274320" rtlCol="0" anchor="t"/>
        <a:lstStyle/>
        <a:p>
          <a:pPr algn="l"/>
          <a:r>
            <a:rPr lang="en-US" sz="1100"/>
            <a:t>WAVING</a:t>
          </a:r>
        </a:p>
      </xdr:txBody>
    </xdr:sp>
    <xdr:clientData/>
  </xdr:twoCellAnchor>
  <xdr:twoCellAnchor>
    <xdr:from>
      <xdr:col>4</xdr:col>
      <xdr:colOff>409575</xdr:colOff>
      <xdr:row>34</xdr:row>
      <xdr:rowOff>180975</xdr:rowOff>
    </xdr:from>
    <xdr:to>
      <xdr:col>5</xdr:col>
      <xdr:colOff>723900</xdr:colOff>
      <xdr:row>34</xdr:row>
      <xdr:rowOff>190500</xdr:rowOff>
    </xdr:to>
    <xdr:cxnSp macro="">
      <xdr:nvCxnSpPr>
        <xdr:cNvPr id="101" name="Straight Connector 100">
          <a:extLst>
            <a:ext uri="{FF2B5EF4-FFF2-40B4-BE49-F238E27FC236}">
              <a16:creationId xmlns:a16="http://schemas.microsoft.com/office/drawing/2014/main" id="{32AC4313-1081-47E2-907A-0FD282A0F33F}"/>
            </a:ext>
          </a:extLst>
        </xdr:cNvPr>
        <xdr:cNvCxnSpPr/>
      </xdr:nvCxnSpPr>
      <xdr:spPr>
        <a:xfrm>
          <a:off x="1714500" y="8029575"/>
          <a:ext cx="723900" cy="9525"/>
        </a:xfrm>
        <a:prstGeom prst="line">
          <a:avLst/>
        </a:prstGeom>
        <a:ln w="82550">
          <a:solidFill>
            <a:schemeClr val="tx1">
              <a:lumMod val="95000"/>
              <a:lumOff val="5000"/>
            </a:schemeClr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8</xdr:row>
      <xdr:rowOff>76200</xdr:rowOff>
    </xdr:from>
    <xdr:to>
      <xdr:col>7</xdr:col>
      <xdr:colOff>19050</xdr:colOff>
      <xdr:row>10</xdr:row>
      <xdr:rowOff>19050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AC676757-6D94-4B0A-8959-74E6A4924F17}"/>
            </a:ext>
          </a:extLst>
        </xdr:cNvPr>
        <xdr:cNvCxnSpPr/>
      </xdr:nvCxnSpPr>
      <xdr:spPr>
        <a:xfrm flipV="1">
          <a:off x="3200400" y="2609850"/>
          <a:ext cx="0" cy="323850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539750</xdr:colOff>
      <xdr:row>3</xdr:row>
      <xdr:rowOff>0</xdr:rowOff>
    </xdr:from>
    <xdr:to>
      <xdr:col>15</xdr:col>
      <xdr:colOff>2389188</xdr:colOff>
      <xdr:row>3</xdr:row>
      <xdr:rowOff>3175</xdr:rowOff>
    </xdr:to>
    <xdr:cxnSp macro="">
      <xdr:nvCxnSpPr>
        <xdr:cNvPr id="103" name="Straight Arrow Connector 102">
          <a:extLst>
            <a:ext uri="{FF2B5EF4-FFF2-40B4-BE49-F238E27FC236}">
              <a16:creationId xmlns:a16="http://schemas.microsoft.com/office/drawing/2014/main" id="{26F9A858-67AA-4C02-8C11-549C00AA7AF3}"/>
            </a:ext>
          </a:extLst>
        </xdr:cNvPr>
        <xdr:cNvCxnSpPr/>
      </xdr:nvCxnSpPr>
      <xdr:spPr>
        <a:xfrm>
          <a:off x="3721100" y="1581150"/>
          <a:ext cx="2011363" cy="3175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</xdr:colOff>
      <xdr:row>14</xdr:row>
      <xdr:rowOff>76200</xdr:rowOff>
    </xdr:from>
    <xdr:to>
      <xdr:col>18</xdr:col>
      <xdr:colOff>19050</xdr:colOff>
      <xdr:row>15</xdr:row>
      <xdr:rowOff>114300</xdr:rowOff>
    </xdr:to>
    <xdr:cxnSp macro="">
      <xdr:nvCxnSpPr>
        <xdr:cNvPr id="104" name="Straight Arrow Connector 103">
          <a:extLst>
            <a:ext uri="{FF2B5EF4-FFF2-40B4-BE49-F238E27FC236}">
              <a16:creationId xmlns:a16="http://schemas.microsoft.com/office/drawing/2014/main" id="{4B10938D-04EB-45F5-BF59-A7C7D5D5FA79}"/>
            </a:ext>
          </a:extLst>
        </xdr:cNvPr>
        <xdr:cNvCxnSpPr/>
      </xdr:nvCxnSpPr>
      <xdr:spPr>
        <a:xfrm>
          <a:off x="8515350" y="3771900"/>
          <a:ext cx="0" cy="238125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607810</xdr:colOff>
      <xdr:row>40</xdr:row>
      <xdr:rowOff>18256</xdr:rowOff>
    </xdr:from>
    <xdr:to>
      <xdr:col>18</xdr:col>
      <xdr:colOff>0</xdr:colOff>
      <xdr:row>41</xdr:row>
      <xdr:rowOff>158750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E639BBFB-153C-495C-81DD-B9E85D07F981}"/>
            </a:ext>
          </a:extLst>
        </xdr:cNvPr>
        <xdr:cNvCxnSpPr/>
      </xdr:nvCxnSpPr>
      <xdr:spPr>
        <a:xfrm>
          <a:off x="8494510" y="9152731"/>
          <a:ext cx="1790" cy="378619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666750</xdr:colOff>
      <xdr:row>44</xdr:row>
      <xdr:rowOff>104775</xdr:rowOff>
    </xdr:from>
    <xdr:to>
      <xdr:col>6</xdr:col>
      <xdr:colOff>104775</xdr:colOff>
      <xdr:row>44</xdr:row>
      <xdr:rowOff>104775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895CF0DE-6C9C-43D1-A229-6220D5006A4C}"/>
            </a:ext>
          </a:extLst>
        </xdr:cNvPr>
        <xdr:cNvCxnSpPr/>
      </xdr:nvCxnSpPr>
      <xdr:spPr>
        <a:xfrm flipH="1">
          <a:off x="2381250" y="10144125"/>
          <a:ext cx="295275" cy="0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504825</xdr:colOff>
      <xdr:row>7</xdr:row>
      <xdr:rowOff>104775</xdr:rowOff>
    </xdr:from>
    <xdr:to>
      <xdr:col>18</xdr:col>
      <xdr:colOff>600074</xdr:colOff>
      <xdr:row>9</xdr:row>
      <xdr:rowOff>9525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B54F0ED1-053E-492E-8CA0-E0DB43D86BFC}"/>
            </a:ext>
          </a:extLst>
        </xdr:cNvPr>
        <xdr:cNvSpPr/>
      </xdr:nvSpPr>
      <xdr:spPr>
        <a:xfrm>
          <a:off x="9001125" y="2447925"/>
          <a:ext cx="95249" cy="285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536575</xdr:colOff>
      <xdr:row>7</xdr:row>
      <xdr:rowOff>127000</xdr:rowOff>
    </xdr:from>
    <xdr:to>
      <xdr:col>21</xdr:col>
      <xdr:colOff>22224</xdr:colOff>
      <xdr:row>9</xdr:row>
      <xdr:rowOff>38100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F5F3675C-634D-4C76-B90D-9951AD581A17}"/>
            </a:ext>
          </a:extLst>
        </xdr:cNvPr>
        <xdr:cNvSpPr/>
      </xdr:nvSpPr>
      <xdr:spPr>
        <a:xfrm>
          <a:off x="10252075" y="2470150"/>
          <a:ext cx="1219199" cy="2921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330200</xdr:colOff>
      <xdr:row>7</xdr:row>
      <xdr:rowOff>136525</xdr:rowOff>
    </xdr:from>
    <xdr:to>
      <xdr:col>20</xdr:col>
      <xdr:colOff>425449</xdr:colOff>
      <xdr:row>9</xdr:row>
      <xdr:rowOff>41275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C23ACBA2-B92F-4204-A6A1-03EF34EB3064}"/>
            </a:ext>
          </a:extLst>
        </xdr:cNvPr>
        <xdr:cNvSpPr/>
      </xdr:nvSpPr>
      <xdr:spPr>
        <a:xfrm>
          <a:off x="10045700" y="2479675"/>
          <a:ext cx="95249" cy="28575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485776</xdr:colOff>
      <xdr:row>7</xdr:row>
      <xdr:rowOff>50545</xdr:rowOff>
    </xdr:from>
    <xdr:to>
      <xdr:col>21</xdr:col>
      <xdr:colOff>28576</xdr:colOff>
      <xdr:row>7</xdr:row>
      <xdr:rowOff>158753</xdr:rowOff>
    </xdr:to>
    <xdr:sp macro="" textlink="">
      <xdr:nvSpPr>
        <xdr:cNvPr id="110" name="Flowchart: Manual Operation 109">
          <a:extLst>
            <a:ext uri="{FF2B5EF4-FFF2-40B4-BE49-F238E27FC236}">
              <a16:creationId xmlns:a16="http://schemas.microsoft.com/office/drawing/2014/main" id="{A43EE699-7829-4B37-AFC1-79A01EE25B83}"/>
            </a:ext>
          </a:extLst>
        </xdr:cNvPr>
        <xdr:cNvSpPr/>
      </xdr:nvSpPr>
      <xdr:spPr>
        <a:xfrm rot="16200000">
          <a:off x="10175747" y="1200024"/>
          <a:ext cx="108208" cy="2495550"/>
        </a:xfrm>
        <a:prstGeom prst="flowChartManualOperation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485776</xdr:colOff>
      <xdr:row>9</xdr:row>
      <xdr:rowOff>0</xdr:rowOff>
    </xdr:from>
    <xdr:to>
      <xdr:col>21</xdr:col>
      <xdr:colOff>0</xdr:colOff>
      <xdr:row>9</xdr:row>
      <xdr:rowOff>87375</xdr:rowOff>
    </xdr:to>
    <xdr:sp macro="" textlink="">
      <xdr:nvSpPr>
        <xdr:cNvPr id="111" name="Flowchart: Manual Operation 110">
          <a:extLst>
            <a:ext uri="{FF2B5EF4-FFF2-40B4-BE49-F238E27FC236}">
              <a16:creationId xmlns:a16="http://schemas.microsoft.com/office/drawing/2014/main" id="{2FEC1B60-F5F4-41A6-9C11-38A72AFFBC6B}"/>
            </a:ext>
          </a:extLst>
        </xdr:cNvPr>
        <xdr:cNvSpPr/>
      </xdr:nvSpPr>
      <xdr:spPr>
        <a:xfrm rot="16200000">
          <a:off x="10171875" y="1534351"/>
          <a:ext cx="87375" cy="2466974"/>
        </a:xfrm>
        <a:prstGeom prst="flowChartManualOperation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161925</xdr:colOff>
      <xdr:row>7</xdr:row>
      <xdr:rowOff>65881</xdr:rowOff>
    </xdr:from>
    <xdr:to>
      <xdr:col>17</xdr:col>
      <xdr:colOff>247649</xdr:colOff>
      <xdr:row>9</xdr:row>
      <xdr:rowOff>161924</xdr:rowOff>
    </xdr:to>
    <xdr:sp macro="" textlink="">
      <xdr:nvSpPr>
        <xdr:cNvPr id="112" name="Frame 111">
          <a:extLst>
            <a:ext uri="{FF2B5EF4-FFF2-40B4-BE49-F238E27FC236}">
              <a16:creationId xmlns:a16="http://schemas.microsoft.com/office/drawing/2014/main" id="{0D1DD20F-8832-425B-9B94-87B19EC4570D}"/>
            </a:ext>
          </a:extLst>
        </xdr:cNvPr>
        <xdr:cNvSpPr/>
      </xdr:nvSpPr>
      <xdr:spPr>
        <a:xfrm rot="16200000" flipV="1">
          <a:off x="7852965" y="2604691"/>
          <a:ext cx="477043" cy="85724"/>
        </a:xfrm>
        <a:prstGeom prst="frame">
          <a:avLst/>
        </a:prstGeom>
        <a:solidFill>
          <a:schemeClr val="accent4"/>
        </a:solidFill>
        <a:ln>
          <a:solidFill>
            <a:srgbClr val="FFC000"/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710046</xdr:colOff>
      <xdr:row>41</xdr:row>
      <xdr:rowOff>180398</xdr:rowOff>
    </xdr:from>
    <xdr:to>
      <xdr:col>15</xdr:col>
      <xdr:colOff>910071</xdr:colOff>
      <xdr:row>43</xdr:row>
      <xdr:rowOff>299463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D4BF54E3-B4CC-4D80-B3AE-14CFCFCCD0A4}"/>
            </a:ext>
          </a:extLst>
        </xdr:cNvPr>
        <xdr:cNvSpPr/>
      </xdr:nvSpPr>
      <xdr:spPr>
        <a:xfrm rot="5400000">
          <a:off x="5079639" y="9698255"/>
          <a:ext cx="490540" cy="200025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48</a:t>
          </a:r>
        </a:p>
      </xdr:txBody>
    </xdr:sp>
    <xdr:clientData/>
  </xdr:twoCellAnchor>
  <xdr:twoCellAnchor>
    <xdr:from>
      <xdr:col>16</xdr:col>
      <xdr:colOff>119784</xdr:colOff>
      <xdr:row>44</xdr:row>
      <xdr:rowOff>304513</xdr:rowOff>
    </xdr:from>
    <xdr:to>
      <xdr:col>16</xdr:col>
      <xdr:colOff>357909</xdr:colOff>
      <xdr:row>47</xdr:row>
      <xdr:rowOff>121953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9B4BF8F6-3271-488F-81BB-BF3293949A2B}"/>
            </a:ext>
          </a:extLst>
        </xdr:cNvPr>
        <xdr:cNvSpPr/>
      </xdr:nvSpPr>
      <xdr:spPr>
        <a:xfrm rot="5400000">
          <a:off x="5721277" y="10362120"/>
          <a:ext cx="503240" cy="238125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45</a:t>
          </a:r>
        </a:p>
      </xdr:txBody>
    </xdr:sp>
    <xdr:clientData/>
  </xdr:twoCellAnchor>
  <xdr:twoCellAnchor>
    <xdr:from>
      <xdr:col>15</xdr:col>
      <xdr:colOff>711489</xdr:colOff>
      <xdr:row>44</xdr:row>
      <xdr:rowOff>241012</xdr:rowOff>
    </xdr:from>
    <xdr:to>
      <xdr:col>15</xdr:col>
      <xdr:colOff>930564</xdr:colOff>
      <xdr:row>47</xdr:row>
      <xdr:rowOff>48349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AEFFE792-F810-4A57-936C-D84EA7CD018B}"/>
            </a:ext>
          </a:extLst>
        </xdr:cNvPr>
        <xdr:cNvSpPr/>
      </xdr:nvSpPr>
      <xdr:spPr>
        <a:xfrm rot="5400000">
          <a:off x="5122646" y="10336430"/>
          <a:ext cx="426462" cy="219075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600075</xdr:colOff>
      <xdr:row>3</xdr:row>
      <xdr:rowOff>19050</xdr:rowOff>
    </xdr:from>
    <xdr:to>
      <xdr:col>17</xdr:col>
      <xdr:colOff>600075</xdr:colOff>
      <xdr:row>10</xdr:row>
      <xdr:rowOff>19049</xdr:rowOff>
    </xdr:to>
    <xdr:sp macro="" textlink="">
      <xdr:nvSpPr>
        <xdr:cNvPr id="2" name="Arc 1">
          <a:extLst>
            <a:ext uri="{FF2B5EF4-FFF2-40B4-BE49-F238E27FC236}">
              <a16:creationId xmlns:a16="http://schemas.microsoft.com/office/drawing/2014/main" id="{1C46614D-E2CC-4539-8CF4-08D087809098}"/>
            </a:ext>
          </a:extLst>
        </xdr:cNvPr>
        <xdr:cNvSpPr/>
      </xdr:nvSpPr>
      <xdr:spPr>
        <a:xfrm>
          <a:off x="4086225" y="1600200"/>
          <a:ext cx="4400550" cy="1333499"/>
        </a:xfrm>
        <a:prstGeom prst="arc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19053</xdr:colOff>
      <xdr:row>3</xdr:row>
      <xdr:rowOff>0</xdr:rowOff>
    </xdr:from>
    <xdr:to>
      <xdr:col>14</xdr:col>
      <xdr:colOff>38102</xdr:colOff>
      <xdr:row>9</xdr:row>
      <xdr:rowOff>161925</xdr:rowOff>
    </xdr:to>
    <xdr:sp macro="" textlink="">
      <xdr:nvSpPr>
        <xdr:cNvPr id="3" name="Arc 2">
          <a:extLst>
            <a:ext uri="{FF2B5EF4-FFF2-40B4-BE49-F238E27FC236}">
              <a16:creationId xmlns:a16="http://schemas.microsoft.com/office/drawing/2014/main" id="{BC0A5693-3DA2-4B3C-874C-0670CD4EB3A8}"/>
            </a:ext>
          </a:extLst>
        </xdr:cNvPr>
        <xdr:cNvSpPr/>
      </xdr:nvSpPr>
      <xdr:spPr>
        <a:xfrm rot="16200000">
          <a:off x="3009902" y="1771651"/>
          <a:ext cx="1304925" cy="923924"/>
        </a:xfrm>
        <a:prstGeom prst="arc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7</xdr:col>
      <xdr:colOff>19050</xdr:colOff>
      <xdr:row>34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B23443C4-514F-4EEC-B5A1-4C9455DAA931}"/>
            </a:ext>
          </a:extLst>
        </xdr:cNvPr>
        <xdr:cNvCxnSpPr/>
      </xdr:nvCxnSpPr>
      <xdr:spPr>
        <a:xfrm flipH="1">
          <a:off x="3181350" y="2352675"/>
          <a:ext cx="19050" cy="5648325"/>
        </a:xfrm>
        <a:prstGeom prst="line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</xdr:colOff>
      <xdr:row>7</xdr:row>
      <xdr:rowOff>66675</xdr:rowOff>
    </xdr:from>
    <xdr:to>
      <xdr:col>18</xdr:col>
      <xdr:colOff>19050</xdr:colOff>
      <xdr:row>40</xdr:row>
      <xdr:rowOff>147637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8663E8E9-C206-4448-97B9-6F6CF404AE84}"/>
            </a:ext>
          </a:extLst>
        </xdr:cNvPr>
        <xdr:cNvCxnSpPr/>
      </xdr:nvCxnSpPr>
      <xdr:spPr>
        <a:xfrm flipH="1">
          <a:off x="8505825" y="2409825"/>
          <a:ext cx="9525" cy="6872287"/>
        </a:xfrm>
        <a:prstGeom prst="line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114301</xdr:colOff>
      <xdr:row>17</xdr:row>
      <xdr:rowOff>104773</xdr:rowOff>
    </xdr:from>
    <xdr:to>
      <xdr:col>18</xdr:col>
      <xdr:colOff>599868</xdr:colOff>
      <xdr:row>18</xdr:row>
      <xdr:rowOff>78925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0F58523-025C-49F7-81A3-D8949DCDDEB5}"/>
            </a:ext>
          </a:extLst>
        </xdr:cNvPr>
        <xdr:cNvSpPr/>
      </xdr:nvSpPr>
      <xdr:spPr>
        <a:xfrm>
          <a:off x="8610601" y="4505323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23</a:t>
          </a:r>
        </a:p>
        <a:p>
          <a:pPr algn="l"/>
          <a:endParaRPr lang="en-US" sz="1100"/>
        </a:p>
      </xdr:txBody>
    </xdr:sp>
    <xdr:clientData/>
  </xdr:twoCellAnchor>
  <xdr:twoCellAnchor>
    <xdr:from>
      <xdr:col>18</xdr:col>
      <xdr:colOff>104776</xdr:colOff>
      <xdr:row>19</xdr:row>
      <xdr:rowOff>114298</xdr:rowOff>
    </xdr:from>
    <xdr:to>
      <xdr:col>18</xdr:col>
      <xdr:colOff>590343</xdr:colOff>
      <xdr:row>20</xdr:row>
      <xdr:rowOff>88450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8BE291E-53BA-4A0D-B7DE-AEB388873996}"/>
            </a:ext>
          </a:extLst>
        </xdr:cNvPr>
        <xdr:cNvSpPr/>
      </xdr:nvSpPr>
      <xdr:spPr>
        <a:xfrm>
          <a:off x="8601076" y="4914898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25</a:t>
          </a:r>
        </a:p>
      </xdr:txBody>
    </xdr:sp>
    <xdr:clientData/>
  </xdr:twoCellAnchor>
  <xdr:twoCellAnchor>
    <xdr:from>
      <xdr:col>18</xdr:col>
      <xdr:colOff>114301</xdr:colOff>
      <xdr:row>21</xdr:row>
      <xdr:rowOff>104773</xdr:rowOff>
    </xdr:from>
    <xdr:to>
      <xdr:col>18</xdr:col>
      <xdr:colOff>599868</xdr:colOff>
      <xdr:row>22</xdr:row>
      <xdr:rowOff>78925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702BEA5-5D81-4E86-B5D3-4C7910C07683}"/>
            </a:ext>
          </a:extLst>
        </xdr:cNvPr>
        <xdr:cNvSpPr/>
      </xdr:nvSpPr>
      <xdr:spPr>
        <a:xfrm>
          <a:off x="8610601" y="5305423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27</a:t>
          </a:r>
        </a:p>
      </xdr:txBody>
    </xdr:sp>
    <xdr:clientData/>
  </xdr:twoCellAnchor>
  <xdr:twoCellAnchor>
    <xdr:from>
      <xdr:col>18</xdr:col>
      <xdr:colOff>114301</xdr:colOff>
      <xdr:row>23</xdr:row>
      <xdr:rowOff>95248</xdr:rowOff>
    </xdr:from>
    <xdr:to>
      <xdr:col>18</xdr:col>
      <xdr:colOff>599868</xdr:colOff>
      <xdr:row>24</xdr:row>
      <xdr:rowOff>69400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CAEE1E40-C205-40BD-B7E0-288AB04E6EA5}"/>
            </a:ext>
          </a:extLst>
        </xdr:cNvPr>
        <xdr:cNvSpPr/>
      </xdr:nvSpPr>
      <xdr:spPr>
        <a:xfrm>
          <a:off x="8610601" y="5695948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29</a:t>
          </a:r>
        </a:p>
        <a:p>
          <a:pPr algn="l"/>
          <a:endParaRPr lang="en-US" sz="1100"/>
        </a:p>
        <a:p>
          <a:pPr algn="l"/>
          <a:endParaRPr lang="en-US" sz="1100"/>
        </a:p>
      </xdr:txBody>
    </xdr:sp>
    <xdr:clientData/>
  </xdr:twoCellAnchor>
  <xdr:twoCellAnchor>
    <xdr:from>
      <xdr:col>18</xdr:col>
      <xdr:colOff>114301</xdr:colOff>
      <xdr:row>25</xdr:row>
      <xdr:rowOff>114298</xdr:rowOff>
    </xdr:from>
    <xdr:to>
      <xdr:col>18</xdr:col>
      <xdr:colOff>599868</xdr:colOff>
      <xdr:row>26</xdr:row>
      <xdr:rowOff>88450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F48C3590-EF58-4788-A4A9-BD313202711B}"/>
            </a:ext>
          </a:extLst>
        </xdr:cNvPr>
        <xdr:cNvSpPr/>
      </xdr:nvSpPr>
      <xdr:spPr>
        <a:xfrm>
          <a:off x="8610601" y="6115048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31</a:t>
          </a:r>
        </a:p>
      </xdr:txBody>
    </xdr:sp>
    <xdr:clientData/>
  </xdr:twoCellAnchor>
  <xdr:twoCellAnchor>
    <xdr:from>
      <xdr:col>18</xdr:col>
      <xdr:colOff>104776</xdr:colOff>
      <xdr:row>27</xdr:row>
      <xdr:rowOff>104773</xdr:rowOff>
    </xdr:from>
    <xdr:to>
      <xdr:col>18</xdr:col>
      <xdr:colOff>590343</xdr:colOff>
      <xdr:row>28</xdr:row>
      <xdr:rowOff>78925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B99617C8-9122-4839-8C90-212CFE338150}"/>
            </a:ext>
          </a:extLst>
        </xdr:cNvPr>
        <xdr:cNvSpPr/>
      </xdr:nvSpPr>
      <xdr:spPr>
        <a:xfrm>
          <a:off x="8601076" y="6505573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33</a:t>
          </a:r>
        </a:p>
      </xdr:txBody>
    </xdr:sp>
    <xdr:clientData/>
  </xdr:twoCellAnchor>
  <xdr:twoCellAnchor>
    <xdr:from>
      <xdr:col>18</xdr:col>
      <xdr:colOff>114301</xdr:colOff>
      <xdr:row>31</xdr:row>
      <xdr:rowOff>104773</xdr:rowOff>
    </xdr:from>
    <xdr:to>
      <xdr:col>18</xdr:col>
      <xdr:colOff>599868</xdr:colOff>
      <xdr:row>32</xdr:row>
      <xdr:rowOff>78925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D9C40F8E-1597-42A8-A149-319C8A2C8180}"/>
            </a:ext>
          </a:extLst>
        </xdr:cNvPr>
        <xdr:cNvSpPr/>
      </xdr:nvSpPr>
      <xdr:spPr>
        <a:xfrm>
          <a:off x="8610601" y="7305673"/>
          <a:ext cx="485567" cy="22180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37</a:t>
          </a:r>
        </a:p>
        <a:p>
          <a:pPr algn="l"/>
          <a:endParaRPr lang="en-US" sz="1100"/>
        </a:p>
      </xdr:txBody>
    </xdr:sp>
    <xdr:clientData/>
  </xdr:twoCellAnchor>
  <xdr:twoCellAnchor>
    <xdr:from>
      <xdr:col>18</xdr:col>
      <xdr:colOff>114301</xdr:colOff>
      <xdr:row>29</xdr:row>
      <xdr:rowOff>104773</xdr:rowOff>
    </xdr:from>
    <xdr:to>
      <xdr:col>18</xdr:col>
      <xdr:colOff>599868</xdr:colOff>
      <xdr:row>30</xdr:row>
      <xdr:rowOff>78925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1FFFD02-F645-42CD-B108-2F61F0161FA3}"/>
            </a:ext>
          </a:extLst>
        </xdr:cNvPr>
        <xdr:cNvSpPr/>
      </xdr:nvSpPr>
      <xdr:spPr>
        <a:xfrm>
          <a:off x="8610601" y="6905623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35</a:t>
          </a:r>
        </a:p>
        <a:p>
          <a:pPr algn="l"/>
          <a:endParaRPr lang="en-US" sz="1100"/>
        </a:p>
      </xdr:txBody>
    </xdr:sp>
    <xdr:clientData/>
  </xdr:twoCellAnchor>
  <xdr:twoCellAnchor>
    <xdr:from>
      <xdr:col>18</xdr:col>
      <xdr:colOff>114301</xdr:colOff>
      <xdr:row>33</xdr:row>
      <xdr:rowOff>95248</xdr:rowOff>
    </xdr:from>
    <xdr:to>
      <xdr:col>18</xdr:col>
      <xdr:colOff>599868</xdr:colOff>
      <xdr:row>34</xdr:row>
      <xdr:rowOff>69400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A3783FE-5EC4-4316-9C82-C5EE6C6F483F}"/>
            </a:ext>
          </a:extLst>
        </xdr:cNvPr>
        <xdr:cNvSpPr/>
      </xdr:nvSpPr>
      <xdr:spPr>
        <a:xfrm>
          <a:off x="8610601" y="7743823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39</a:t>
          </a:r>
        </a:p>
      </xdr:txBody>
    </xdr:sp>
    <xdr:clientData/>
  </xdr:twoCellAnchor>
  <xdr:twoCellAnchor>
    <xdr:from>
      <xdr:col>18</xdr:col>
      <xdr:colOff>114301</xdr:colOff>
      <xdr:row>35</xdr:row>
      <xdr:rowOff>123823</xdr:rowOff>
    </xdr:from>
    <xdr:to>
      <xdr:col>18</xdr:col>
      <xdr:colOff>599868</xdr:colOff>
      <xdr:row>36</xdr:row>
      <xdr:rowOff>97975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DB1B48CD-3502-408D-81F2-8DC14C9D3000}"/>
            </a:ext>
          </a:extLst>
        </xdr:cNvPr>
        <xdr:cNvSpPr/>
      </xdr:nvSpPr>
      <xdr:spPr>
        <a:xfrm>
          <a:off x="8610601" y="8172448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41</a:t>
          </a:r>
        </a:p>
      </xdr:txBody>
    </xdr:sp>
    <xdr:clientData/>
  </xdr:twoCellAnchor>
  <xdr:twoCellAnchor>
    <xdr:from>
      <xdr:col>18</xdr:col>
      <xdr:colOff>104776</xdr:colOff>
      <xdr:row>37</xdr:row>
      <xdr:rowOff>114299</xdr:rowOff>
    </xdr:from>
    <xdr:to>
      <xdr:col>18</xdr:col>
      <xdr:colOff>599679</xdr:colOff>
      <xdr:row>38</xdr:row>
      <xdr:rowOff>78765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CA6D8E8-C333-47E0-9DA1-6C81712CE5DB}"/>
            </a:ext>
          </a:extLst>
        </xdr:cNvPr>
        <xdr:cNvSpPr/>
      </xdr:nvSpPr>
      <xdr:spPr>
        <a:xfrm>
          <a:off x="8601076" y="8562974"/>
          <a:ext cx="494903" cy="16449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43</a:t>
          </a:r>
        </a:p>
      </xdr:txBody>
    </xdr:sp>
    <xdr:clientData/>
  </xdr:twoCellAnchor>
  <xdr:twoCellAnchor>
    <xdr:from>
      <xdr:col>3</xdr:col>
      <xdr:colOff>19050</xdr:colOff>
      <xdr:row>28</xdr:row>
      <xdr:rowOff>180976</xdr:rowOff>
    </xdr:from>
    <xdr:to>
      <xdr:col>3</xdr:col>
      <xdr:colOff>600075</xdr:colOff>
      <xdr:row>30</xdr:row>
      <xdr:rowOff>171450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54C834B0-4052-4D46-BC8C-7B082CBEAB15}"/>
            </a:ext>
          </a:extLst>
        </xdr:cNvPr>
        <xdr:cNvSpPr/>
      </xdr:nvSpPr>
      <xdr:spPr>
        <a:xfrm>
          <a:off x="866775" y="6781801"/>
          <a:ext cx="581025" cy="3905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</a:t>
          </a:r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28575</xdr:colOff>
      <xdr:row>17</xdr:row>
      <xdr:rowOff>114299</xdr:rowOff>
    </xdr:from>
    <xdr:to>
      <xdr:col>17</xdr:col>
      <xdr:colOff>560832</xdr:colOff>
      <xdr:row>18</xdr:row>
      <xdr:rowOff>107822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17DE0A8B-73A4-4601-9DA6-77A73E58F7D7}"/>
            </a:ext>
          </a:extLst>
        </xdr:cNvPr>
        <xdr:cNvSpPr/>
      </xdr:nvSpPr>
      <xdr:spPr>
        <a:xfrm>
          <a:off x="7915275" y="4514849"/>
          <a:ext cx="53225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24</a:t>
          </a:r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19</xdr:row>
      <xdr:rowOff>104774</xdr:rowOff>
    </xdr:from>
    <xdr:to>
      <xdr:col>17</xdr:col>
      <xdr:colOff>532257</xdr:colOff>
      <xdr:row>20</xdr:row>
      <xdr:rowOff>98297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E27DC0C-7E25-4E82-828A-DA386EA84CED}"/>
            </a:ext>
          </a:extLst>
        </xdr:cNvPr>
        <xdr:cNvSpPr/>
      </xdr:nvSpPr>
      <xdr:spPr>
        <a:xfrm>
          <a:off x="7886700" y="4905374"/>
          <a:ext cx="53225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26</a:t>
          </a:r>
        </a:p>
      </xdr:txBody>
    </xdr:sp>
    <xdr:clientData/>
  </xdr:twoCellAnchor>
  <xdr:twoCellAnchor>
    <xdr:from>
      <xdr:col>17</xdr:col>
      <xdr:colOff>9525</xdr:colOff>
      <xdr:row>21</xdr:row>
      <xdr:rowOff>95249</xdr:rowOff>
    </xdr:from>
    <xdr:to>
      <xdr:col>17</xdr:col>
      <xdr:colOff>541782</xdr:colOff>
      <xdr:row>22</xdr:row>
      <xdr:rowOff>88772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24E2068B-9E2D-4E76-A75E-4B10EADB714B}"/>
            </a:ext>
          </a:extLst>
        </xdr:cNvPr>
        <xdr:cNvSpPr/>
      </xdr:nvSpPr>
      <xdr:spPr>
        <a:xfrm>
          <a:off x="7896225" y="5295899"/>
          <a:ext cx="53225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28</a:t>
          </a:r>
        </a:p>
      </xdr:txBody>
    </xdr:sp>
    <xdr:clientData/>
  </xdr:twoCellAnchor>
  <xdr:twoCellAnchor>
    <xdr:from>
      <xdr:col>17</xdr:col>
      <xdr:colOff>9525</xdr:colOff>
      <xdr:row>23</xdr:row>
      <xdr:rowOff>85724</xdr:rowOff>
    </xdr:from>
    <xdr:to>
      <xdr:col>17</xdr:col>
      <xdr:colOff>541782</xdr:colOff>
      <xdr:row>24</xdr:row>
      <xdr:rowOff>79247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5DDB7F0B-A9BC-4793-8AB4-7DDC84527114}"/>
            </a:ext>
          </a:extLst>
        </xdr:cNvPr>
        <xdr:cNvSpPr/>
      </xdr:nvSpPr>
      <xdr:spPr>
        <a:xfrm>
          <a:off x="7896225" y="5686424"/>
          <a:ext cx="53225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30</a:t>
          </a:r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9525</xdr:colOff>
      <xdr:row>25</xdr:row>
      <xdr:rowOff>104774</xdr:rowOff>
    </xdr:from>
    <xdr:to>
      <xdr:col>17</xdr:col>
      <xdr:colOff>541782</xdr:colOff>
      <xdr:row>26</xdr:row>
      <xdr:rowOff>98297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84F9444F-1B82-418E-8749-81E3596F2A7A}"/>
            </a:ext>
          </a:extLst>
        </xdr:cNvPr>
        <xdr:cNvSpPr/>
      </xdr:nvSpPr>
      <xdr:spPr>
        <a:xfrm>
          <a:off x="7896225" y="6105524"/>
          <a:ext cx="53225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32</a:t>
          </a:r>
        </a:p>
      </xdr:txBody>
    </xdr:sp>
    <xdr:clientData/>
  </xdr:twoCellAnchor>
  <xdr:twoCellAnchor>
    <xdr:from>
      <xdr:col>17</xdr:col>
      <xdr:colOff>0</xdr:colOff>
      <xdr:row>27</xdr:row>
      <xdr:rowOff>95249</xdr:rowOff>
    </xdr:from>
    <xdr:to>
      <xdr:col>17</xdr:col>
      <xdr:colOff>532257</xdr:colOff>
      <xdr:row>28</xdr:row>
      <xdr:rowOff>88772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C45F0FFA-9B6A-4206-AD8B-DA5602669BAC}"/>
            </a:ext>
          </a:extLst>
        </xdr:cNvPr>
        <xdr:cNvSpPr/>
      </xdr:nvSpPr>
      <xdr:spPr>
        <a:xfrm>
          <a:off x="7886700" y="6496049"/>
          <a:ext cx="53225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34</a:t>
          </a:r>
        </a:p>
      </xdr:txBody>
    </xdr:sp>
    <xdr:clientData/>
  </xdr:twoCellAnchor>
  <xdr:twoCellAnchor>
    <xdr:from>
      <xdr:col>17</xdr:col>
      <xdr:colOff>9525</xdr:colOff>
      <xdr:row>31</xdr:row>
      <xdr:rowOff>95249</xdr:rowOff>
    </xdr:from>
    <xdr:to>
      <xdr:col>17</xdr:col>
      <xdr:colOff>541782</xdr:colOff>
      <xdr:row>32</xdr:row>
      <xdr:rowOff>88772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AD4879A5-B852-4327-A65A-D387576A1D8D}"/>
            </a:ext>
          </a:extLst>
        </xdr:cNvPr>
        <xdr:cNvSpPr/>
      </xdr:nvSpPr>
      <xdr:spPr>
        <a:xfrm>
          <a:off x="7896225" y="7296149"/>
          <a:ext cx="532257" cy="24117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38</a:t>
          </a:r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9525</xdr:colOff>
      <xdr:row>29</xdr:row>
      <xdr:rowOff>95249</xdr:rowOff>
    </xdr:from>
    <xdr:to>
      <xdr:col>17</xdr:col>
      <xdr:colOff>541782</xdr:colOff>
      <xdr:row>30</xdr:row>
      <xdr:rowOff>88772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CBAFEC50-0ABD-4D10-A96D-A0F18E604B84}"/>
            </a:ext>
          </a:extLst>
        </xdr:cNvPr>
        <xdr:cNvSpPr/>
      </xdr:nvSpPr>
      <xdr:spPr>
        <a:xfrm>
          <a:off x="7896225" y="6896099"/>
          <a:ext cx="53225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36</a:t>
          </a:r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9525</xdr:colOff>
      <xdr:row>33</xdr:row>
      <xdr:rowOff>85724</xdr:rowOff>
    </xdr:from>
    <xdr:to>
      <xdr:col>17</xdr:col>
      <xdr:colOff>541782</xdr:colOff>
      <xdr:row>34</xdr:row>
      <xdr:rowOff>79247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38616D2A-EC57-43BF-B09D-F3565278FAC9}"/>
            </a:ext>
          </a:extLst>
        </xdr:cNvPr>
        <xdr:cNvSpPr/>
      </xdr:nvSpPr>
      <xdr:spPr>
        <a:xfrm>
          <a:off x="7896225" y="7734299"/>
          <a:ext cx="53225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40</a:t>
          </a:r>
        </a:p>
      </xdr:txBody>
    </xdr:sp>
    <xdr:clientData/>
  </xdr:twoCellAnchor>
  <xdr:twoCellAnchor>
    <xdr:from>
      <xdr:col>17</xdr:col>
      <xdr:colOff>9525</xdr:colOff>
      <xdr:row>35</xdr:row>
      <xdr:rowOff>114299</xdr:rowOff>
    </xdr:from>
    <xdr:to>
      <xdr:col>17</xdr:col>
      <xdr:colOff>541782</xdr:colOff>
      <xdr:row>36</xdr:row>
      <xdr:rowOff>107822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FE72E10D-0BC4-43E2-B5AF-6337431634FD}"/>
            </a:ext>
          </a:extLst>
        </xdr:cNvPr>
        <xdr:cNvSpPr/>
      </xdr:nvSpPr>
      <xdr:spPr>
        <a:xfrm>
          <a:off x="7896225" y="8162924"/>
          <a:ext cx="53225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42</a:t>
          </a:r>
        </a:p>
      </xdr:txBody>
    </xdr:sp>
    <xdr:clientData/>
  </xdr:twoCellAnchor>
  <xdr:twoCellAnchor>
    <xdr:from>
      <xdr:col>17</xdr:col>
      <xdr:colOff>0</xdr:colOff>
      <xdr:row>37</xdr:row>
      <xdr:rowOff>104774</xdr:rowOff>
    </xdr:from>
    <xdr:to>
      <xdr:col>17</xdr:col>
      <xdr:colOff>532257</xdr:colOff>
      <xdr:row>38</xdr:row>
      <xdr:rowOff>98297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DCAC50E0-A216-4648-A088-267743704C49}"/>
            </a:ext>
          </a:extLst>
        </xdr:cNvPr>
        <xdr:cNvSpPr/>
      </xdr:nvSpPr>
      <xdr:spPr>
        <a:xfrm>
          <a:off x="7886700" y="8553449"/>
          <a:ext cx="53225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44</a:t>
          </a:r>
        </a:p>
      </xdr:txBody>
    </xdr:sp>
    <xdr:clientData/>
  </xdr:twoCellAnchor>
  <xdr:twoCellAnchor>
    <xdr:from>
      <xdr:col>12</xdr:col>
      <xdr:colOff>455372</xdr:colOff>
      <xdr:row>41</xdr:row>
      <xdr:rowOff>127007</xdr:rowOff>
    </xdr:from>
    <xdr:to>
      <xdr:col>18</xdr:col>
      <xdr:colOff>13120</xdr:colOff>
      <xdr:row>44</xdr:row>
      <xdr:rowOff>115566</xdr:rowOff>
    </xdr:to>
    <xdr:sp macro="" textlink="">
      <xdr:nvSpPr>
        <xdr:cNvPr id="29" name="Arc 28">
          <a:extLst>
            <a:ext uri="{FF2B5EF4-FFF2-40B4-BE49-F238E27FC236}">
              <a16:creationId xmlns:a16="http://schemas.microsoft.com/office/drawing/2014/main" id="{F3F4D22E-4B19-48D1-9D9B-08932417AF6C}"/>
            </a:ext>
          </a:extLst>
        </xdr:cNvPr>
        <xdr:cNvSpPr/>
      </xdr:nvSpPr>
      <xdr:spPr>
        <a:xfrm rot="5136640">
          <a:off x="5970168" y="7615664"/>
          <a:ext cx="655309" cy="4423195"/>
        </a:xfrm>
        <a:prstGeom prst="arc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600666</xdr:colOff>
      <xdr:row>39</xdr:row>
      <xdr:rowOff>202406</xdr:rowOff>
    </xdr:from>
    <xdr:to>
      <xdr:col>18</xdr:col>
      <xdr:colOff>0</xdr:colOff>
      <xdr:row>43</xdr:row>
      <xdr:rowOff>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5B18FFA2-0B9F-4073-AB35-34DA2265475E}"/>
            </a:ext>
          </a:extLst>
        </xdr:cNvPr>
        <xdr:cNvCxnSpPr/>
      </xdr:nvCxnSpPr>
      <xdr:spPr>
        <a:xfrm flipH="1">
          <a:off x="8487366" y="9098756"/>
          <a:ext cx="8934" cy="750094"/>
        </a:xfrm>
        <a:prstGeom prst="line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104776</xdr:colOff>
      <xdr:row>13</xdr:row>
      <xdr:rowOff>133349</xdr:rowOff>
    </xdr:from>
    <xdr:to>
      <xdr:col>7</xdr:col>
      <xdr:colOff>590343</xdr:colOff>
      <xdr:row>14</xdr:row>
      <xdr:rowOff>133350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25FACF54-10F7-4937-BA52-BE9437C12335}"/>
            </a:ext>
          </a:extLst>
        </xdr:cNvPr>
        <xdr:cNvSpPr/>
      </xdr:nvSpPr>
      <xdr:spPr>
        <a:xfrm>
          <a:off x="3286126" y="3629024"/>
          <a:ext cx="485567" cy="2000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20</a:t>
          </a:r>
        </a:p>
      </xdr:txBody>
    </xdr:sp>
    <xdr:clientData/>
  </xdr:twoCellAnchor>
  <xdr:twoCellAnchor>
    <xdr:from>
      <xdr:col>7</xdr:col>
      <xdr:colOff>104776</xdr:colOff>
      <xdr:row>15</xdr:row>
      <xdr:rowOff>95249</xdr:rowOff>
    </xdr:from>
    <xdr:to>
      <xdr:col>7</xdr:col>
      <xdr:colOff>590343</xdr:colOff>
      <xdr:row>16</xdr:row>
      <xdr:rowOff>69401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7760E251-B1B7-49A3-9C34-ABE224894797}"/>
            </a:ext>
          </a:extLst>
        </xdr:cNvPr>
        <xdr:cNvSpPr/>
      </xdr:nvSpPr>
      <xdr:spPr>
        <a:xfrm>
          <a:off x="3286126" y="3990974"/>
          <a:ext cx="485567" cy="27895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18</a:t>
          </a:r>
        </a:p>
      </xdr:txBody>
    </xdr:sp>
    <xdr:clientData/>
  </xdr:twoCellAnchor>
  <xdr:twoCellAnchor>
    <xdr:from>
      <xdr:col>7</xdr:col>
      <xdr:colOff>104776</xdr:colOff>
      <xdr:row>17</xdr:row>
      <xdr:rowOff>85724</xdr:rowOff>
    </xdr:from>
    <xdr:to>
      <xdr:col>7</xdr:col>
      <xdr:colOff>590343</xdr:colOff>
      <xdr:row>18</xdr:row>
      <xdr:rowOff>59876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6CBF8D03-4E76-4551-85FE-B1FDB0FC7290}"/>
            </a:ext>
          </a:extLst>
        </xdr:cNvPr>
        <xdr:cNvSpPr/>
      </xdr:nvSpPr>
      <xdr:spPr>
        <a:xfrm>
          <a:off x="3286126" y="4486274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16</a:t>
          </a:r>
        </a:p>
        <a:p>
          <a:pPr algn="l"/>
          <a:endParaRPr lang="en-US" sz="1100"/>
        </a:p>
      </xdr:txBody>
    </xdr:sp>
    <xdr:clientData/>
  </xdr:twoCellAnchor>
  <xdr:twoCellAnchor>
    <xdr:from>
      <xdr:col>7</xdr:col>
      <xdr:colOff>104776</xdr:colOff>
      <xdr:row>19</xdr:row>
      <xdr:rowOff>104774</xdr:rowOff>
    </xdr:from>
    <xdr:to>
      <xdr:col>7</xdr:col>
      <xdr:colOff>590343</xdr:colOff>
      <xdr:row>20</xdr:row>
      <xdr:rowOff>78926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EF7572ED-F926-426A-AB4A-A531875BAD5C}"/>
            </a:ext>
          </a:extLst>
        </xdr:cNvPr>
        <xdr:cNvSpPr/>
      </xdr:nvSpPr>
      <xdr:spPr>
        <a:xfrm>
          <a:off x="3286126" y="4905374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14</a:t>
          </a:r>
        </a:p>
      </xdr:txBody>
    </xdr:sp>
    <xdr:clientData/>
  </xdr:twoCellAnchor>
  <xdr:twoCellAnchor>
    <xdr:from>
      <xdr:col>7</xdr:col>
      <xdr:colOff>95251</xdr:colOff>
      <xdr:row>21</xdr:row>
      <xdr:rowOff>95249</xdr:rowOff>
    </xdr:from>
    <xdr:to>
      <xdr:col>7</xdr:col>
      <xdr:colOff>580818</xdr:colOff>
      <xdr:row>22</xdr:row>
      <xdr:rowOff>69401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1BAD1C6C-E9B2-4370-9D97-2049F87C0B49}"/>
            </a:ext>
          </a:extLst>
        </xdr:cNvPr>
        <xdr:cNvSpPr/>
      </xdr:nvSpPr>
      <xdr:spPr>
        <a:xfrm>
          <a:off x="3276601" y="5295899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12</a:t>
          </a:r>
        </a:p>
      </xdr:txBody>
    </xdr:sp>
    <xdr:clientData/>
  </xdr:twoCellAnchor>
  <xdr:twoCellAnchor>
    <xdr:from>
      <xdr:col>7</xdr:col>
      <xdr:colOff>104776</xdr:colOff>
      <xdr:row>25</xdr:row>
      <xdr:rowOff>95249</xdr:rowOff>
    </xdr:from>
    <xdr:to>
      <xdr:col>7</xdr:col>
      <xdr:colOff>590343</xdr:colOff>
      <xdr:row>26</xdr:row>
      <xdr:rowOff>69401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9E53171A-1EAD-4BA7-93B7-3821353794D6}"/>
            </a:ext>
          </a:extLst>
        </xdr:cNvPr>
        <xdr:cNvSpPr/>
      </xdr:nvSpPr>
      <xdr:spPr>
        <a:xfrm>
          <a:off x="3286126" y="6095999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8</a:t>
          </a:r>
        </a:p>
      </xdr:txBody>
    </xdr:sp>
    <xdr:clientData/>
  </xdr:twoCellAnchor>
  <xdr:twoCellAnchor>
    <xdr:from>
      <xdr:col>7</xdr:col>
      <xdr:colOff>104776</xdr:colOff>
      <xdr:row>23</xdr:row>
      <xdr:rowOff>95249</xdr:rowOff>
    </xdr:from>
    <xdr:to>
      <xdr:col>7</xdr:col>
      <xdr:colOff>590343</xdr:colOff>
      <xdr:row>24</xdr:row>
      <xdr:rowOff>69401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1E59C610-367C-4775-868E-7BE032A36BE4}"/>
            </a:ext>
          </a:extLst>
        </xdr:cNvPr>
        <xdr:cNvSpPr/>
      </xdr:nvSpPr>
      <xdr:spPr>
        <a:xfrm>
          <a:off x="3286126" y="5695949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10</a:t>
          </a:r>
        </a:p>
      </xdr:txBody>
    </xdr:sp>
    <xdr:clientData/>
  </xdr:twoCellAnchor>
  <xdr:twoCellAnchor>
    <xdr:from>
      <xdr:col>7</xdr:col>
      <xdr:colOff>104776</xdr:colOff>
      <xdr:row>27</xdr:row>
      <xdr:rowOff>85724</xdr:rowOff>
    </xdr:from>
    <xdr:to>
      <xdr:col>7</xdr:col>
      <xdr:colOff>590343</xdr:colOff>
      <xdr:row>28</xdr:row>
      <xdr:rowOff>59876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52058805-655D-4F76-B2DE-A8E002E07C06}"/>
            </a:ext>
          </a:extLst>
        </xdr:cNvPr>
        <xdr:cNvSpPr/>
      </xdr:nvSpPr>
      <xdr:spPr>
        <a:xfrm>
          <a:off x="3286126" y="6486524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104776</xdr:colOff>
      <xdr:row>29</xdr:row>
      <xdr:rowOff>114299</xdr:rowOff>
    </xdr:from>
    <xdr:to>
      <xdr:col>7</xdr:col>
      <xdr:colOff>590343</xdr:colOff>
      <xdr:row>30</xdr:row>
      <xdr:rowOff>88451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146669CF-624A-41B4-9841-1804DBD11AE8}"/>
            </a:ext>
          </a:extLst>
        </xdr:cNvPr>
        <xdr:cNvSpPr/>
      </xdr:nvSpPr>
      <xdr:spPr>
        <a:xfrm>
          <a:off x="3286126" y="6915149"/>
          <a:ext cx="485567" cy="17417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95251</xdr:colOff>
      <xdr:row>31</xdr:row>
      <xdr:rowOff>104775</xdr:rowOff>
    </xdr:from>
    <xdr:to>
      <xdr:col>7</xdr:col>
      <xdr:colOff>590154</xdr:colOff>
      <xdr:row>32</xdr:row>
      <xdr:rowOff>69241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B740B652-1983-4AC0-B1E8-C6BB3318397D}"/>
            </a:ext>
          </a:extLst>
        </xdr:cNvPr>
        <xdr:cNvSpPr/>
      </xdr:nvSpPr>
      <xdr:spPr>
        <a:xfrm>
          <a:off x="3276601" y="7305675"/>
          <a:ext cx="494903" cy="2121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</a:t>
          </a:r>
        </a:p>
        <a:p>
          <a:pPr algn="l"/>
          <a:endParaRPr lang="en-US" sz="1100"/>
        </a:p>
      </xdr:txBody>
    </xdr:sp>
    <xdr:clientData/>
  </xdr:twoCellAnchor>
  <xdr:twoCellAnchor>
    <xdr:from>
      <xdr:col>5</xdr:col>
      <xdr:colOff>847725</xdr:colOff>
      <xdr:row>13</xdr:row>
      <xdr:rowOff>123825</xdr:rowOff>
    </xdr:from>
    <xdr:to>
      <xdr:col>6</xdr:col>
      <xdr:colOff>541782</xdr:colOff>
      <xdr:row>14</xdr:row>
      <xdr:rowOff>117348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4413DCC6-1B34-4221-AECE-ED37DA3683BE}"/>
            </a:ext>
          </a:extLst>
        </xdr:cNvPr>
        <xdr:cNvSpPr/>
      </xdr:nvSpPr>
      <xdr:spPr>
        <a:xfrm>
          <a:off x="2562225" y="3619500"/>
          <a:ext cx="55130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19</a:t>
          </a:r>
        </a:p>
      </xdr:txBody>
    </xdr:sp>
    <xdr:clientData/>
  </xdr:twoCellAnchor>
  <xdr:twoCellAnchor>
    <xdr:from>
      <xdr:col>6</xdr:col>
      <xdr:colOff>0</xdr:colOff>
      <xdr:row>15</xdr:row>
      <xdr:rowOff>85725</xdr:rowOff>
    </xdr:from>
    <xdr:to>
      <xdr:col>6</xdr:col>
      <xdr:colOff>532257</xdr:colOff>
      <xdr:row>16</xdr:row>
      <xdr:rowOff>79248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E9C8AC7D-4B3C-4CC0-8DA5-DE9E14A565C7}"/>
            </a:ext>
          </a:extLst>
        </xdr:cNvPr>
        <xdr:cNvSpPr/>
      </xdr:nvSpPr>
      <xdr:spPr>
        <a:xfrm>
          <a:off x="2571750" y="3981450"/>
          <a:ext cx="532257" cy="29832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17</a:t>
          </a:r>
        </a:p>
      </xdr:txBody>
    </xdr:sp>
    <xdr:clientData/>
  </xdr:twoCellAnchor>
  <xdr:twoCellAnchor>
    <xdr:from>
      <xdr:col>6</xdr:col>
      <xdr:colOff>0</xdr:colOff>
      <xdr:row>17</xdr:row>
      <xdr:rowOff>76200</xdr:rowOff>
    </xdr:from>
    <xdr:to>
      <xdr:col>6</xdr:col>
      <xdr:colOff>532257</xdr:colOff>
      <xdr:row>18</xdr:row>
      <xdr:rowOff>69723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6BEC821D-ED35-4BCA-BF12-8A95BD0618E8}"/>
            </a:ext>
          </a:extLst>
        </xdr:cNvPr>
        <xdr:cNvSpPr/>
      </xdr:nvSpPr>
      <xdr:spPr>
        <a:xfrm>
          <a:off x="2571750" y="4476750"/>
          <a:ext cx="53225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15</a:t>
          </a:r>
        </a:p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19</xdr:row>
      <xdr:rowOff>95250</xdr:rowOff>
    </xdr:from>
    <xdr:to>
      <xdr:col>6</xdr:col>
      <xdr:colOff>532257</xdr:colOff>
      <xdr:row>20</xdr:row>
      <xdr:rowOff>88773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3D86FCDA-EFC9-49F8-BBD3-E5E50B5FF63B}"/>
            </a:ext>
          </a:extLst>
        </xdr:cNvPr>
        <xdr:cNvSpPr/>
      </xdr:nvSpPr>
      <xdr:spPr>
        <a:xfrm>
          <a:off x="2571750" y="4895850"/>
          <a:ext cx="53225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13</a:t>
          </a:r>
        </a:p>
      </xdr:txBody>
    </xdr:sp>
    <xdr:clientData/>
  </xdr:twoCellAnchor>
  <xdr:twoCellAnchor>
    <xdr:from>
      <xdr:col>5</xdr:col>
      <xdr:colOff>847725</xdr:colOff>
      <xdr:row>21</xdr:row>
      <xdr:rowOff>76200</xdr:rowOff>
    </xdr:from>
    <xdr:to>
      <xdr:col>6</xdr:col>
      <xdr:colOff>522732</xdr:colOff>
      <xdr:row>22</xdr:row>
      <xdr:rowOff>79248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E49A8458-0D7A-4C62-BE0A-213C40065CEF}"/>
            </a:ext>
          </a:extLst>
        </xdr:cNvPr>
        <xdr:cNvSpPr/>
      </xdr:nvSpPr>
      <xdr:spPr>
        <a:xfrm>
          <a:off x="2562225" y="5276850"/>
          <a:ext cx="532257" cy="20307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11</a:t>
          </a:r>
        </a:p>
      </xdr:txBody>
    </xdr:sp>
    <xdr:clientData/>
  </xdr:twoCellAnchor>
  <xdr:twoCellAnchor>
    <xdr:from>
      <xdr:col>6</xdr:col>
      <xdr:colOff>0</xdr:colOff>
      <xdr:row>25</xdr:row>
      <xdr:rowOff>85725</xdr:rowOff>
    </xdr:from>
    <xdr:to>
      <xdr:col>6</xdr:col>
      <xdr:colOff>532257</xdr:colOff>
      <xdr:row>26</xdr:row>
      <xdr:rowOff>79248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9D8094A1-26A3-4AD7-836A-7BFFFAB5AB9E}"/>
            </a:ext>
          </a:extLst>
        </xdr:cNvPr>
        <xdr:cNvSpPr/>
      </xdr:nvSpPr>
      <xdr:spPr>
        <a:xfrm>
          <a:off x="2571750" y="6086475"/>
          <a:ext cx="53225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7</a:t>
          </a:r>
        </a:p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23</xdr:row>
      <xdr:rowOff>85725</xdr:rowOff>
    </xdr:from>
    <xdr:to>
      <xdr:col>6</xdr:col>
      <xdr:colOff>532257</xdr:colOff>
      <xdr:row>24</xdr:row>
      <xdr:rowOff>79248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157EEA10-590E-42FB-8CF4-7E07A1D8EF07}"/>
            </a:ext>
          </a:extLst>
        </xdr:cNvPr>
        <xdr:cNvSpPr/>
      </xdr:nvSpPr>
      <xdr:spPr>
        <a:xfrm>
          <a:off x="2571750" y="5686425"/>
          <a:ext cx="53225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9</a:t>
          </a:r>
        </a:p>
      </xdr:txBody>
    </xdr:sp>
    <xdr:clientData/>
  </xdr:twoCellAnchor>
  <xdr:twoCellAnchor>
    <xdr:from>
      <xdr:col>6</xdr:col>
      <xdr:colOff>0</xdr:colOff>
      <xdr:row>27</xdr:row>
      <xdr:rowOff>76200</xdr:rowOff>
    </xdr:from>
    <xdr:to>
      <xdr:col>6</xdr:col>
      <xdr:colOff>532257</xdr:colOff>
      <xdr:row>28</xdr:row>
      <xdr:rowOff>69723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B1EF320D-6546-48D3-A084-2115578A32C2}"/>
            </a:ext>
          </a:extLst>
        </xdr:cNvPr>
        <xdr:cNvSpPr/>
      </xdr:nvSpPr>
      <xdr:spPr>
        <a:xfrm>
          <a:off x="2571750" y="6477000"/>
          <a:ext cx="532257" cy="19354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6</xdr:col>
      <xdr:colOff>542925</xdr:colOff>
      <xdr:row>30</xdr:row>
      <xdr:rowOff>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DAC22BA-1EC0-4F54-884B-745A4CF5DF19}"/>
            </a:ext>
          </a:extLst>
        </xdr:cNvPr>
        <xdr:cNvCxnSpPr/>
      </xdr:nvCxnSpPr>
      <xdr:spPr>
        <a:xfrm>
          <a:off x="1457325" y="7000875"/>
          <a:ext cx="1657350" cy="0"/>
        </a:xfrm>
        <a:prstGeom prst="line">
          <a:avLst/>
        </a:prstGeom>
        <a:ln w="79375" cmpd="tri">
          <a:solidFill>
            <a:schemeClr val="tx1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209550</xdr:colOff>
      <xdr:row>29</xdr:row>
      <xdr:rowOff>76199</xdr:rowOff>
    </xdr:from>
    <xdr:ext cx="260931" cy="216935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6B869823-FD39-4BAB-910D-08566A2DAD85}"/>
            </a:ext>
          </a:extLst>
        </xdr:cNvPr>
        <xdr:cNvSpPr txBox="1"/>
      </xdr:nvSpPr>
      <xdr:spPr>
        <a:xfrm>
          <a:off x="2781300" y="6877049"/>
          <a:ext cx="260931" cy="2169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126999</xdr:colOff>
      <xdr:row>7</xdr:row>
      <xdr:rowOff>19050</xdr:rowOff>
    </xdr:from>
    <xdr:to>
      <xdr:col>18</xdr:col>
      <xdr:colOff>430211</xdr:colOff>
      <xdr:row>12</xdr:row>
      <xdr:rowOff>66675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21A2E84-6054-4177-B9D2-19C20489C2EA}"/>
            </a:ext>
          </a:extLst>
        </xdr:cNvPr>
        <xdr:cNvSpPr/>
      </xdr:nvSpPr>
      <xdr:spPr>
        <a:xfrm>
          <a:off x="8013699" y="2362200"/>
          <a:ext cx="912812" cy="1000125"/>
        </a:xfrm>
        <a:prstGeom prst="rect">
          <a:avLst/>
        </a:prstGeom>
        <a:solidFill>
          <a:schemeClr val="accent4">
            <a:lumMod val="60000"/>
            <a:lumOff val="40000"/>
            <a:alpha val="93000"/>
          </a:schemeClr>
        </a:solidFill>
        <a:ln>
          <a:solidFill>
            <a:schemeClr val="accent2"/>
          </a:solidFill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174626</xdr:colOff>
      <xdr:row>7</xdr:row>
      <xdr:rowOff>26987</xdr:rowOff>
    </xdr:from>
    <xdr:to>
      <xdr:col>18</xdr:col>
      <xdr:colOff>477838</xdr:colOff>
      <xdr:row>7</xdr:row>
      <xdr:rowOff>138112</xdr:rowOff>
    </xdr:to>
    <xdr:sp macro="" textlink="">
      <xdr:nvSpPr>
        <xdr:cNvPr id="52" name="Frame 51">
          <a:extLst>
            <a:ext uri="{FF2B5EF4-FFF2-40B4-BE49-F238E27FC236}">
              <a16:creationId xmlns:a16="http://schemas.microsoft.com/office/drawing/2014/main" id="{375B9751-0D19-4FE3-B206-5C1DD5BA4ED9}"/>
            </a:ext>
          </a:extLst>
        </xdr:cNvPr>
        <xdr:cNvSpPr/>
      </xdr:nvSpPr>
      <xdr:spPr>
        <a:xfrm flipV="1">
          <a:off x="8061326" y="2370137"/>
          <a:ext cx="912812" cy="111125"/>
        </a:xfrm>
        <a:prstGeom prst="frame">
          <a:avLst/>
        </a:prstGeom>
        <a:solidFill>
          <a:schemeClr val="accent4"/>
        </a:solidFill>
        <a:ln>
          <a:solidFill>
            <a:schemeClr val="accent4"/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174625</xdr:colOff>
      <xdr:row>11</xdr:row>
      <xdr:rowOff>142875</xdr:rowOff>
    </xdr:from>
    <xdr:to>
      <xdr:col>18</xdr:col>
      <xdr:colOff>477837</xdr:colOff>
      <xdr:row>12</xdr:row>
      <xdr:rowOff>63500</xdr:rowOff>
    </xdr:to>
    <xdr:sp macro="" textlink="">
      <xdr:nvSpPr>
        <xdr:cNvPr id="53" name="Frame 52">
          <a:extLst>
            <a:ext uri="{FF2B5EF4-FFF2-40B4-BE49-F238E27FC236}">
              <a16:creationId xmlns:a16="http://schemas.microsoft.com/office/drawing/2014/main" id="{DB29EC58-1272-494D-9518-EDDEB23CF64A}"/>
            </a:ext>
          </a:extLst>
        </xdr:cNvPr>
        <xdr:cNvSpPr/>
      </xdr:nvSpPr>
      <xdr:spPr>
        <a:xfrm flipV="1">
          <a:off x="8061325" y="3248025"/>
          <a:ext cx="912812" cy="111125"/>
        </a:xfrm>
        <a:prstGeom prst="frame">
          <a:avLst/>
        </a:prstGeom>
        <a:solidFill>
          <a:schemeClr val="accent4"/>
        </a:solidFill>
        <a:ln>
          <a:solidFill>
            <a:schemeClr val="accent4"/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514349</xdr:colOff>
      <xdr:row>9</xdr:row>
      <xdr:rowOff>158690</xdr:rowOff>
    </xdr:from>
    <xdr:to>
      <xdr:col>17</xdr:col>
      <xdr:colOff>158751</xdr:colOff>
      <xdr:row>10</xdr:row>
      <xdr:rowOff>13909</xdr:rowOff>
    </xdr:to>
    <xdr:sp macro="" textlink="">
      <xdr:nvSpPr>
        <xdr:cNvPr id="54" name="Flowchart: Manual Operation 53">
          <a:extLst>
            <a:ext uri="{FF2B5EF4-FFF2-40B4-BE49-F238E27FC236}">
              <a16:creationId xmlns:a16="http://schemas.microsoft.com/office/drawing/2014/main" id="{14B464AD-AFE8-4A87-A612-916F0151BEEF}"/>
            </a:ext>
          </a:extLst>
        </xdr:cNvPr>
        <xdr:cNvSpPr/>
      </xdr:nvSpPr>
      <xdr:spPr>
        <a:xfrm rot="5400000">
          <a:off x="7124065" y="2007174"/>
          <a:ext cx="45719" cy="1797052"/>
        </a:xfrm>
        <a:prstGeom prst="flowChartManualOperation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533400</xdr:colOff>
      <xdr:row>11</xdr:row>
      <xdr:rowOff>182566</xdr:rowOff>
    </xdr:from>
    <xdr:to>
      <xdr:col>17</xdr:col>
      <xdr:colOff>158687</xdr:colOff>
      <xdr:row>12</xdr:row>
      <xdr:rowOff>76203</xdr:rowOff>
    </xdr:to>
    <xdr:sp macro="" textlink="">
      <xdr:nvSpPr>
        <xdr:cNvPr id="55" name="Flowchart: Manual Operation 54">
          <a:extLst>
            <a:ext uri="{FF2B5EF4-FFF2-40B4-BE49-F238E27FC236}">
              <a16:creationId xmlns:a16="http://schemas.microsoft.com/office/drawing/2014/main" id="{D5ADE60D-7D6E-485B-9723-912D086511D2}"/>
            </a:ext>
          </a:extLst>
        </xdr:cNvPr>
        <xdr:cNvSpPr/>
      </xdr:nvSpPr>
      <xdr:spPr>
        <a:xfrm rot="5400000">
          <a:off x="7114350" y="2440816"/>
          <a:ext cx="84137" cy="1777937"/>
        </a:xfrm>
        <a:prstGeom prst="flowChartManualOperation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520702</xdr:colOff>
      <xdr:row>10</xdr:row>
      <xdr:rowOff>19050</xdr:rowOff>
    </xdr:from>
    <xdr:to>
      <xdr:col>20</xdr:col>
      <xdr:colOff>577854</xdr:colOff>
      <xdr:row>10</xdr:row>
      <xdr:rowOff>127000</xdr:rowOff>
    </xdr:to>
    <xdr:sp macro="" textlink="">
      <xdr:nvSpPr>
        <xdr:cNvPr id="56" name="Flowchart: Manual Operation 55">
          <a:extLst>
            <a:ext uri="{FF2B5EF4-FFF2-40B4-BE49-F238E27FC236}">
              <a16:creationId xmlns:a16="http://schemas.microsoft.com/office/drawing/2014/main" id="{2C8ACED5-A646-42D7-A8A0-CF8A5D0EB0C2}"/>
            </a:ext>
          </a:extLst>
        </xdr:cNvPr>
        <xdr:cNvSpPr/>
      </xdr:nvSpPr>
      <xdr:spPr>
        <a:xfrm rot="16200000">
          <a:off x="9601203" y="2349499"/>
          <a:ext cx="107950" cy="1276352"/>
        </a:xfrm>
        <a:prstGeom prst="flowChartManualOperation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515939</xdr:colOff>
      <xdr:row>11</xdr:row>
      <xdr:rowOff>174626</xdr:rowOff>
    </xdr:from>
    <xdr:to>
      <xdr:col>21</xdr:col>
      <xdr:colOff>31753</xdr:colOff>
      <xdr:row>12</xdr:row>
      <xdr:rowOff>119126</xdr:rowOff>
    </xdr:to>
    <xdr:sp macro="" textlink="">
      <xdr:nvSpPr>
        <xdr:cNvPr id="57" name="Flowchart: Manual Operation 56">
          <a:extLst>
            <a:ext uri="{FF2B5EF4-FFF2-40B4-BE49-F238E27FC236}">
              <a16:creationId xmlns:a16="http://schemas.microsoft.com/office/drawing/2014/main" id="{C9136C1D-12E8-4314-8866-949E672BF91C}"/>
            </a:ext>
          </a:extLst>
        </xdr:cNvPr>
        <xdr:cNvSpPr/>
      </xdr:nvSpPr>
      <xdr:spPr>
        <a:xfrm rot="16200000">
          <a:off x="10179021" y="2112994"/>
          <a:ext cx="135000" cy="2468564"/>
        </a:xfrm>
        <a:prstGeom prst="flowChartManualOperation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39687</xdr:colOff>
      <xdr:row>10</xdr:row>
      <xdr:rowOff>55563</xdr:rowOff>
    </xdr:from>
    <xdr:to>
      <xdr:col>17</xdr:col>
      <xdr:colOff>134936</xdr:colOff>
      <xdr:row>11</xdr:row>
      <xdr:rowOff>150813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BE5BDA5E-D2F0-4ADB-8EE2-6648C7EF6815}"/>
            </a:ext>
          </a:extLst>
        </xdr:cNvPr>
        <xdr:cNvSpPr/>
      </xdr:nvSpPr>
      <xdr:spPr>
        <a:xfrm>
          <a:off x="7926387" y="2970213"/>
          <a:ext cx="95249" cy="285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542924</xdr:colOff>
      <xdr:row>10</xdr:row>
      <xdr:rowOff>55562</xdr:rowOff>
    </xdr:from>
    <xdr:to>
      <xdr:col>16</xdr:col>
      <xdr:colOff>638173</xdr:colOff>
      <xdr:row>11</xdr:row>
      <xdr:rowOff>150812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14C2D4E9-0375-49FA-B8C5-31AE817B3BB6}"/>
            </a:ext>
          </a:extLst>
        </xdr:cNvPr>
        <xdr:cNvSpPr/>
      </xdr:nvSpPr>
      <xdr:spPr>
        <a:xfrm>
          <a:off x="6276974" y="2970212"/>
          <a:ext cx="95249" cy="28575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706437</xdr:colOff>
      <xdr:row>10</xdr:row>
      <xdr:rowOff>55562</xdr:rowOff>
    </xdr:from>
    <xdr:to>
      <xdr:col>16</xdr:col>
      <xdr:colOff>801686</xdr:colOff>
      <xdr:row>11</xdr:row>
      <xdr:rowOff>150812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31D7E2BF-3A3F-4A00-BDCC-7479B5371B3C}"/>
            </a:ext>
          </a:extLst>
        </xdr:cNvPr>
        <xdr:cNvSpPr/>
      </xdr:nvSpPr>
      <xdr:spPr>
        <a:xfrm>
          <a:off x="6440487" y="2970212"/>
          <a:ext cx="95249" cy="28575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500062</xdr:colOff>
      <xdr:row>10</xdr:row>
      <xdr:rowOff>63500</xdr:rowOff>
    </xdr:from>
    <xdr:to>
      <xdr:col>18</xdr:col>
      <xdr:colOff>595311</xdr:colOff>
      <xdr:row>11</xdr:row>
      <xdr:rowOff>158750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9074356-DAF0-4653-B217-5D5BA4D692E7}"/>
            </a:ext>
          </a:extLst>
        </xdr:cNvPr>
        <xdr:cNvSpPr/>
      </xdr:nvSpPr>
      <xdr:spPr>
        <a:xfrm>
          <a:off x="8996362" y="2978150"/>
          <a:ext cx="95249" cy="285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342900</xdr:colOff>
      <xdr:row>10</xdr:row>
      <xdr:rowOff>95250</xdr:rowOff>
    </xdr:from>
    <xdr:to>
      <xdr:col>20</xdr:col>
      <xdr:colOff>444499</xdr:colOff>
      <xdr:row>12</xdr:row>
      <xdr:rowOff>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BC13637C-EF26-4952-9207-00D0E06786E6}"/>
            </a:ext>
          </a:extLst>
        </xdr:cNvPr>
        <xdr:cNvSpPr/>
      </xdr:nvSpPr>
      <xdr:spPr>
        <a:xfrm>
          <a:off x="10058400" y="3009900"/>
          <a:ext cx="101599" cy="28575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544513</xdr:colOff>
      <xdr:row>10</xdr:row>
      <xdr:rowOff>95250</xdr:rowOff>
    </xdr:from>
    <xdr:to>
      <xdr:col>21</xdr:col>
      <xdr:colOff>36512</xdr:colOff>
      <xdr:row>12</xdr:row>
      <xdr:rowOff>0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FA720ABA-E2E2-48F0-8EB1-1FEE1E14C265}"/>
            </a:ext>
          </a:extLst>
        </xdr:cNvPr>
        <xdr:cNvSpPr/>
      </xdr:nvSpPr>
      <xdr:spPr>
        <a:xfrm>
          <a:off x="10260013" y="3009900"/>
          <a:ext cx="1225549" cy="28575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551656</xdr:colOff>
      <xdr:row>44</xdr:row>
      <xdr:rowOff>107156</xdr:rowOff>
    </xdr:from>
    <xdr:to>
      <xdr:col>15</xdr:col>
      <xdr:colOff>2368550</xdr:colOff>
      <xdr:row>44</xdr:row>
      <xdr:rowOff>111125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17CBDC56-0186-4357-AF97-29EBFE48B3CD}"/>
            </a:ext>
          </a:extLst>
        </xdr:cNvPr>
        <xdr:cNvCxnSpPr/>
      </xdr:nvCxnSpPr>
      <xdr:spPr>
        <a:xfrm flipH="1" flipV="1">
          <a:off x="789781" y="10146506"/>
          <a:ext cx="4941094" cy="3969"/>
        </a:xfrm>
        <a:prstGeom prst="line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135658</xdr:colOff>
      <xdr:row>41</xdr:row>
      <xdr:rowOff>174989</xdr:rowOff>
    </xdr:from>
    <xdr:to>
      <xdr:col>16</xdr:col>
      <xdr:colOff>373783</xdr:colOff>
      <xdr:row>43</xdr:row>
      <xdr:rowOff>294054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4BC57327-1B7B-4736-BE44-0443E0FCCEEB}"/>
            </a:ext>
          </a:extLst>
        </xdr:cNvPr>
        <xdr:cNvSpPr/>
      </xdr:nvSpPr>
      <xdr:spPr>
        <a:xfrm rot="5400000">
          <a:off x="5743501" y="9673796"/>
          <a:ext cx="49054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46</a:t>
          </a:r>
        </a:p>
      </xdr:txBody>
    </xdr:sp>
    <xdr:clientData/>
  </xdr:twoCellAnchor>
  <xdr:twoCellAnchor>
    <xdr:from>
      <xdr:col>12</xdr:col>
      <xdr:colOff>190500</xdr:colOff>
      <xdr:row>43</xdr:row>
      <xdr:rowOff>130969</xdr:rowOff>
    </xdr:from>
    <xdr:to>
      <xdr:col>13</xdr:col>
      <xdr:colOff>100679</xdr:colOff>
      <xdr:row>44</xdr:row>
      <xdr:rowOff>32195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65CEC3B2-8AAA-4E52-B412-2BD55AE0DCD2}"/>
            </a:ext>
          </a:extLst>
        </xdr:cNvPr>
        <xdr:cNvSpPr/>
      </xdr:nvSpPr>
      <xdr:spPr>
        <a:xfrm rot="5400000">
          <a:off x="4040362" y="10025682"/>
          <a:ext cx="91726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48</a:t>
          </a:r>
        </a:p>
      </xdr:txBody>
    </xdr:sp>
    <xdr:clientData/>
  </xdr:twoCellAnchor>
  <xdr:twoCellAnchor>
    <xdr:from>
      <xdr:col>12</xdr:col>
      <xdr:colOff>190500</xdr:colOff>
      <xdr:row>45</xdr:row>
      <xdr:rowOff>47626</xdr:rowOff>
    </xdr:from>
    <xdr:to>
      <xdr:col>13</xdr:col>
      <xdr:colOff>100680</xdr:colOff>
      <xdr:row>47</xdr:row>
      <xdr:rowOff>166691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D4F765B6-6A83-4056-9693-16825DF6EC21}"/>
            </a:ext>
          </a:extLst>
        </xdr:cNvPr>
        <xdr:cNvSpPr/>
      </xdr:nvSpPr>
      <xdr:spPr>
        <a:xfrm rot="5400000">
          <a:off x="3836192" y="10527509"/>
          <a:ext cx="500065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47</a:t>
          </a:r>
        </a:p>
        <a:p>
          <a:pPr algn="l"/>
          <a:endParaRPr lang="en-US" sz="1100"/>
        </a:p>
      </xdr:txBody>
    </xdr:sp>
    <xdr:clientData/>
  </xdr:twoCellAnchor>
  <xdr:twoCellAnchor>
    <xdr:from>
      <xdr:col>7</xdr:col>
      <xdr:colOff>38498</xdr:colOff>
      <xdr:row>43</xdr:row>
      <xdr:rowOff>95249</xdr:rowOff>
    </xdr:from>
    <xdr:to>
      <xdr:col>7</xdr:col>
      <xdr:colOff>404816</xdr:colOff>
      <xdr:row>47</xdr:row>
      <xdr:rowOff>107156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9F27D7E5-626A-4A70-9E1B-6113648B458A}"/>
            </a:ext>
          </a:extLst>
        </xdr:cNvPr>
        <xdr:cNvSpPr/>
      </xdr:nvSpPr>
      <xdr:spPr>
        <a:xfrm rot="16200000">
          <a:off x="3016053" y="10147894"/>
          <a:ext cx="773907" cy="366318"/>
        </a:xfrm>
        <a:prstGeom prst="rect">
          <a:avLst/>
        </a:prstGeom>
        <a:solidFill>
          <a:schemeClr val="bg2">
            <a:lumMod val="75000"/>
            <a:alpha val="93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380999</xdr:colOff>
      <xdr:row>43</xdr:row>
      <xdr:rowOff>112314</xdr:rowOff>
    </xdr:from>
    <xdr:to>
      <xdr:col>7</xdr:col>
      <xdr:colOff>463152</xdr:colOff>
      <xdr:row>47</xdr:row>
      <xdr:rowOff>130968</xdr:rowOff>
    </xdr:to>
    <xdr:sp macro="" textlink="">
      <xdr:nvSpPr>
        <xdr:cNvPr id="69" name="Frame 68">
          <a:extLst>
            <a:ext uri="{FF2B5EF4-FFF2-40B4-BE49-F238E27FC236}">
              <a16:creationId xmlns:a16="http://schemas.microsoft.com/office/drawing/2014/main" id="{FDF8FB0D-B3E0-447F-8F05-8C7C47E2F53B}"/>
            </a:ext>
          </a:extLst>
        </xdr:cNvPr>
        <xdr:cNvSpPr/>
      </xdr:nvSpPr>
      <xdr:spPr>
        <a:xfrm rot="16200000" flipV="1">
          <a:off x="3213099" y="10310414"/>
          <a:ext cx="780654" cy="82153"/>
        </a:xfrm>
        <a:prstGeom prst="frame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583406</xdr:colOff>
      <xdr:row>43</xdr:row>
      <xdr:rowOff>95249</xdr:rowOff>
    </xdr:from>
    <xdr:to>
      <xdr:col>7</xdr:col>
      <xdr:colOff>58341</xdr:colOff>
      <xdr:row>47</xdr:row>
      <xdr:rowOff>113903</xdr:rowOff>
    </xdr:to>
    <xdr:sp macro="" textlink="">
      <xdr:nvSpPr>
        <xdr:cNvPr id="70" name="Frame 69">
          <a:extLst>
            <a:ext uri="{FF2B5EF4-FFF2-40B4-BE49-F238E27FC236}">
              <a16:creationId xmlns:a16="http://schemas.microsoft.com/office/drawing/2014/main" id="{BE429FB7-F284-44E8-945E-038BAE34D4D5}"/>
            </a:ext>
          </a:extLst>
        </xdr:cNvPr>
        <xdr:cNvSpPr/>
      </xdr:nvSpPr>
      <xdr:spPr>
        <a:xfrm rot="16200000" flipV="1">
          <a:off x="2807097" y="10292158"/>
          <a:ext cx="780654" cy="84535"/>
        </a:xfrm>
        <a:prstGeom prst="frame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59533</xdr:colOff>
      <xdr:row>43</xdr:row>
      <xdr:rowOff>0</xdr:rowOff>
    </xdr:from>
    <xdr:to>
      <xdr:col>7</xdr:col>
      <xdr:colOff>345283</xdr:colOff>
      <xdr:row>43</xdr:row>
      <xdr:rowOff>59529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727BE9CD-33FB-420F-8C4A-DC3109BC5656}"/>
            </a:ext>
          </a:extLst>
        </xdr:cNvPr>
        <xdr:cNvSpPr/>
      </xdr:nvSpPr>
      <xdr:spPr>
        <a:xfrm rot="16200000">
          <a:off x="3353993" y="9735740"/>
          <a:ext cx="59529" cy="285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86124</xdr:colOff>
      <xdr:row>47</xdr:row>
      <xdr:rowOff>154780</xdr:rowOff>
    </xdr:from>
    <xdr:to>
      <xdr:col>7</xdr:col>
      <xdr:colOff>371874</xdr:colOff>
      <xdr:row>48</xdr:row>
      <xdr:rowOff>23810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D654E3C5-8DD5-431A-B166-F4E5E6CAD9A3}"/>
            </a:ext>
          </a:extLst>
        </xdr:cNvPr>
        <xdr:cNvSpPr/>
      </xdr:nvSpPr>
      <xdr:spPr>
        <a:xfrm rot="16200000">
          <a:off x="3380584" y="10652520"/>
          <a:ext cx="59530" cy="285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83345</xdr:colOff>
      <xdr:row>48</xdr:row>
      <xdr:rowOff>83344</xdr:rowOff>
    </xdr:from>
    <xdr:to>
      <xdr:col>7</xdr:col>
      <xdr:colOff>369095</xdr:colOff>
      <xdr:row>48</xdr:row>
      <xdr:rowOff>178593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3FCAF004-447D-4A96-9C7F-091A1CB5E9C0}"/>
            </a:ext>
          </a:extLst>
        </xdr:cNvPr>
        <xdr:cNvSpPr/>
      </xdr:nvSpPr>
      <xdr:spPr>
        <a:xfrm rot="16200000">
          <a:off x="3359945" y="10789444"/>
          <a:ext cx="95249" cy="28575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83345</xdr:colOff>
      <xdr:row>48</xdr:row>
      <xdr:rowOff>226219</xdr:rowOff>
    </xdr:from>
    <xdr:to>
      <xdr:col>7</xdr:col>
      <xdr:colOff>369095</xdr:colOff>
      <xdr:row>48</xdr:row>
      <xdr:rowOff>321468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3A74408A-A68C-4E8E-8A53-87D36E3ED3DA}"/>
            </a:ext>
          </a:extLst>
        </xdr:cNvPr>
        <xdr:cNvSpPr/>
      </xdr:nvSpPr>
      <xdr:spPr>
        <a:xfrm rot="16200000">
          <a:off x="3407569" y="10846595"/>
          <a:ext cx="1" cy="285748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402765</xdr:colOff>
      <xdr:row>43</xdr:row>
      <xdr:rowOff>0</xdr:rowOff>
    </xdr:from>
    <xdr:to>
      <xdr:col>7</xdr:col>
      <xdr:colOff>466328</xdr:colOff>
      <xdr:row>43</xdr:row>
      <xdr:rowOff>85329</xdr:rowOff>
    </xdr:to>
    <xdr:sp macro="" textlink="">
      <xdr:nvSpPr>
        <xdr:cNvPr id="75" name="Flowchart: Manual Operation 74">
          <a:extLst>
            <a:ext uri="{FF2B5EF4-FFF2-40B4-BE49-F238E27FC236}">
              <a16:creationId xmlns:a16="http://schemas.microsoft.com/office/drawing/2014/main" id="{22BD2083-E7BE-4E32-942F-AF574E97B450}"/>
            </a:ext>
          </a:extLst>
        </xdr:cNvPr>
        <xdr:cNvSpPr/>
      </xdr:nvSpPr>
      <xdr:spPr>
        <a:xfrm rot="10800000">
          <a:off x="3584115" y="9848850"/>
          <a:ext cx="63563" cy="85329"/>
        </a:xfrm>
        <a:prstGeom prst="flowChartManualOperation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571500</xdr:colOff>
      <xdr:row>43</xdr:row>
      <xdr:rowOff>0</xdr:rowOff>
    </xdr:from>
    <xdr:to>
      <xdr:col>7</xdr:col>
      <xdr:colOff>27845</xdr:colOff>
      <xdr:row>43</xdr:row>
      <xdr:rowOff>95187</xdr:rowOff>
    </xdr:to>
    <xdr:sp macro="" textlink="">
      <xdr:nvSpPr>
        <xdr:cNvPr id="76" name="Flowchart: Manual Operation 75">
          <a:extLst>
            <a:ext uri="{FF2B5EF4-FFF2-40B4-BE49-F238E27FC236}">
              <a16:creationId xmlns:a16="http://schemas.microsoft.com/office/drawing/2014/main" id="{B68DDD05-540A-44E9-99EE-E7FD1958F5AD}"/>
            </a:ext>
          </a:extLst>
        </xdr:cNvPr>
        <xdr:cNvSpPr/>
      </xdr:nvSpPr>
      <xdr:spPr>
        <a:xfrm rot="10800000">
          <a:off x="3143250" y="9848850"/>
          <a:ext cx="65945" cy="95187"/>
        </a:xfrm>
        <a:prstGeom prst="flowChartManualOperation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595313</xdr:colOff>
      <xdr:row>47</xdr:row>
      <xdr:rowOff>130968</xdr:rowOff>
    </xdr:from>
    <xdr:to>
      <xdr:col>7</xdr:col>
      <xdr:colOff>51658</xdr:colOff>
      <xdr:row>48</xdr:row>
      <xdr:rowOff>321405</xdr:rowOff>
    </xdr:to>
    <xdr:sp macro="" textlink="">
      <xdr:nvSpPr>
        <xdr:cNvPr id="77" name="Flowchart: Manual Operation 76">
          <a:extLst>
            <a:ext uri="{FF2B5EF4-FFF2-40B4-BE49-F238E27FC236}">
              <a16:creationId xmlns:a16="http://schemas.microsoft.com/office/drawing/2014/main" id="{0FC341D6-0284-4B59-856C-A95C543354ED}"/>
            </a:ext>
          </a:extLst>
        </xdr:cNvPr>
        <xdr:cNvSpPr/>
      </xdr:nvSpPr>
      <xdr:spPr>
        <a:xfrm>
          <a:off x="3167063" y="10741818"/>
          <a:ext cx="65945" cy="247587"/>
        </a:xfrm>
        <a:prstGeom prst="flowChartManualOperation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404812</xdr:colOff>
      <xdr:row>47</xdr:row>
      <xdr:rowOff>142875</xdr:rowOff>
    </xdr:from>
    <xdr:to>
      <xdr:col>7</xdr:col>
      <xdr:colOff>468375</xdr:colOff>
      <xdr:row>48</xdr:row>
      <xdr:rowOff>333312</xdr:rowOff>
    </xdr:to>
    <xdr:sp macro="" textlink="">
      <xdr:nvSpPr>
        <xdr:cNvPr id="78" name="Flowchart: Manual Operation 77">
          <a:extLst>
            <a:ext uri="{FF2B5EF4-FFF2-40B4-BE49-F238E27FC236}">
              <a16:creationId xmlns:a16="http://schemas.microsoft.com/office/drawing/2014/main" id="{F5856F57-06AA-4975-B854-6EC2EB17E978}"/>
            </a:ext>
          </a:extLst>
        </xdr:cNvPr>
        <xdr:cNvSpPr/>
      </xdr:nvSpPr>
      <xdr:spPr>
        <a:xfrm>
          <a:off x="3586162" y="10753725"/>
          <a:ext cx="63563" cy="238062"/>
        </a:xfrm>
        <a:prstGeom prst="flowChartManualOperation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520253</xdr:colOff>
      <xdr:row>43</xdr:row>
      <xdr:rowOff>28579</xdr:rowOff>
    </xdr:from>
    <xdr:to>
      <xdr:col>5</xdr:col>
      <xdr:colOff>142875</xdr:colOff>
      <xdr:row>44</xdr:row>
      <xdr:rowOff>34580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752B543B-31F5-4E4A-8B7E-6BF37EC985A3}"/>
            </a:ext>
          </a:extLst>
        </xdr:cNvPr>
        <xdr:cNvSpPr/>
      </xdr:nvSpPr>
      <xdr:spPr>
        <a:xfrm rot="5400000">
          <a:off x="1685876" y="9902431"/>
          <a:ext cx="196501" cy="146497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t"/>
        <a:lstStyle/>
        <a:p>
          <a:pPr algn="l"/>
          <a:r>
            <a:rPr lang="en-US" sz="1100"/>
            <a:t>Rework</a:t>
          </a:r>
        </a:p>
      </xdr:txBody>
    </xdr:sp>
    <xdr:clientData/>
  </xdr:twoCellAnchor>
  <xdr:twoCellAnchor>
    <xdr:from>
      <xdr:col>4</xdr:col>
      <xdr:colOff>523875</xdr:colOff>
      <xdr:row>45</xdr:row>
      <xdr:rowOff>66677</xdr:rowOff>
    </xdr:from>
    <xdr:to>
      <xdr:col>5</xdr:col>
      <xdr:colOff>142875</xdr:colOff>
      <xdr:row>48</xdr:row>
      <xdr:rowOff>28578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D0385D1A-0F4B-4569-8488-21FD6EA72C69}"/>
            </a:ext>
          </a:extLst>
        </xdr:cNvPr>
        <xdr:cNvSpPr/>
      </xdr:nvSpPr>
      <xdr:spPr>
        <a:xfrm rot="5400000">
          <a:off x="1519237" y="10491790"/>
          <a:ext cx="533401" cy="1428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t"/>
        <a:lstStyle/>
        <a:p>
          <a:pPr algn="l"/>
          <a:r>
            <a:rPr lang="en-US" sz="1100"/>
            <a:t>Rework</a:t>
          </a:r>
        </a:p>
      </xdr:txBody>
    </xdr:sp>
    <xdr:clientData/>
  </xdr:twoCellAnchor>
  <xdr:twoCellAnchor>
    <xdr:from>
      <xdr:col>10</xdr:col>
      <xdr:colOff>161925</xdr:colOff>
      <xdr:row>43</xdr:row>
      <xdr:rowOff>76199</xdr:rowOff>
    </xdr:from>
    <xdr:to>
      <xdr:col>11</xdr:col>
      <xdr:colOff>95250</xdr:colOff>
      <xdr:row>44</xdr:row>
      <xdr:rowOff>34581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C453EA86-55ED-44EF-A58F-E94807EA3F3F}"/>
            </a:ext>
          </a:extLst>
        </xdr:cNvPr>
        <xdr:cNvSpPr/>
      </xdr:nvSpPr>
      <xdr:spPr>
        <a:xfrm rot="5400000">
          <a:off x="4011784" y="9999490"/>
          <a:ext cx="148882" cy="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t"/>
        <a:lstStyle/>
        <a:p>
          <a:pPr algn="l"/>
          <a:r>
            <a:rPr lang="en-US" sz="1100"/>
            <a:t>Rework</a:t>
          </a:r>
        </a:p>
      </xdr:txBody>
    </xdr:sp>
    <xdr:clientData/>
  </xdr:twoCellAnchor>
  <xdr:twoCellAnchor>
    <xdr:from>
      <xdr:col>10</xdr:col>
      <xdr:colOff>161925</xdr:colOff>
      <xdr:row>45</xdr:row>
      <xdr:rowOff>57150</xdr:rowOff>
    </xdr:from>
    <xdr:to>
      <xdr:col>11</xdr:col>
      <xdr:colOff>95250</xdr:colOff>
      <xdr:row>47</xdr:row>
      <xdr:rowOff>171450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CABFB3C6-7279-4206-B3F4-D64105D7582B}"/>
            </a:ext>
          </a:extLst>
        </xdr:cNvPr>
        <xdr:cNvSpPr/>
      </xdr:nvSpPr>
      <xdr:spPr>
        <a:xfrm rot="5400000">
          <a:off x="3838575" y="10534650"/>
          <a:ext cx="495300" cy="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t"/>
        <a:lstStyle/>
        <a:p>
          <a:pPr algn="l"/>
          <a:r>
            <a:rPr lang="en-US" sz="1100"/>
            <a:t>Rework</a:t>
          </a:r>
        </a:p>
      </xdr:txBody>
    </xdr:sp>
    <xdr:clientData/>
  </xdr:twoCellAnchor>
  <xdr:twoCellAnchor>
    <xdr:from>
      <xdr:col>5</xdr:col>
      <xdr:colOff>838200</xdr:colOff>
      <xdr:row>33</xdr:row>
      <xdr:rowOff>104775</xdr:rowOff>
    </xdr:from>
    <xdr:to>
      <xdr:col>7</xdr:col>
      <xdr:colOff>285750</xdr:colOff>
      <xdr:row>36</xdr:row>
      <xdr:rowOff>123825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2BC407D0-606F-4F17-A528-B855C7E19D16}"/>
            </a:ext>
          </a:extLst>
        </xdr:cNvPr>
        <xdr:cNvSpPr/>
      </xdr:nvSpPr>
      <xdr:spPr>
        <a:xfrm>
          <a:off x="2552700" y="7753350"/>
          <a:ext cx="914400" cy="619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182880" rIns="91440" rtlCol="0" anchor="t"/>
        <a:lstStyle/>
        <a:p>
          <a:pPr algn="l"/>
          <a:r>
            <a:rPr lang="en-US" sz="1100"/>
            <a:t>BULS </a:t>
          </a:r>
        </a:p>
        <a:p>
          <a:pPr algn="l"/>
          <a:r>
            <a:rPr lang="en-US" sz="1100"/>
            <a:t>DESK</a:t>
          </a:r>
        </a:p>
      </xdr:txBody>
    </xdr:sp>
    <xdr:clientData/>
  </xdr:twoCellAnchor>
  <xdr:twoCellAnchor>
    <xdr:from>
      <xdr:col>5</xdr:col>
      <xdr:colOff>847726</xdr:colOff>
      <xdr:row>32</xdr:row>
      <xdr:rowOff>180975</xdr:rowOff>
    </xdr:from>
    <xdr:to>
      <xdr:col>6</xdr:col>
      <xdr:colOff>238126</xdr:colOff>
      <xdr:row>33</xdr:row>
      <xdr:rowOff>76200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FCAA0814-C626-4241-8DCE-023F69A1B741}"/>
            </a:ext>
          </a:extLst>
        </xdr:cNvPr>
        <xdr:cNvSpPr/>
      </xdr:nvSpPr>
      <xdr:spPr>
        <a:xfrm>
          <a:off x="2562226" y="7629525"/>
          <a:ext cx="247650" cy="9525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847725</xdr:colOff>
      <xdr:row>32</xdr:row>
      <xdr:rowOff>28575</xdr:rowOff>
    </xdr:from>
    <xdr:to>
      <xdr:col>6</xdr:col>
      <xdr:colOff>238125</xdr:colOff>
      <xdr:row>32</xdr:row>
      <xdr:rowOff>142875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F4C598B5-587B-4CAD-B09D-0847F94B6E47}"/>
            </a:ext>
          </a:extLst>
        </xdr:cNvPr>
        <xdr:cNvSpPr/>
      </xdr:nvSpPr>
      <xdr:spPr>
        <a:xfrm>
          <a:off x="2562225" y="7477125"/>
          <a:ext cx="247650" cy="11430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847725</xdr:colOff>
      <xdr:row>31</xdr:row>
      <xdr:rowOff>104775</xdr:rowOff>
    </xdr:from>
    <xdr:to>
      <xdr:col>6</xdr:col>
      <xdr:colOff>238125</xdr:colOff>
      <xdr:row>32</xdr:row>
      <xdr:rowOff>0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8114B837-7A9C-483E-AB58-D9C4F6F8F0A2}"/>
            </a:ext>
          </a:extLst>
        </xdr:cNvPr>
        <xdr:cNvSpPr/>
      </xdr:nvSpPr>
      <xdr:spPr>
        <a:xfrm>
          <a:off x="2562225" y="7305675"/>
          <a:ext cx="247650" cy="142875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333375</xdr:colOff>
      <xdr:row>33</xdr:row>
      <xdr:rowOff>180975</xdr:rowOff>
    </xdr:from>
    <xdr:to>
      <xdr:col>7</xdr:col>
      <xdr:colOff>447675</xdr:colOff>
      <xdr:row>34</xdr:row>
      <xdr:rowOff>209550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57D53BDD-3B00-4872-86A3-E00B4F69DE40}"/>
            </a:ext>
          </a:extLst>
        </xdr:cNvPr>
        <xdr:cNvSpPr/>
      </xdr:nvSpPr>
      <xdr:spPr>
        <a:xfrm rot="5400000">
          <a:off x="3462337" y="7881938"/>
          <a:ext cx="219075" cy="1143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485775</xdr:colOff>
      <xdr:row>33</xdr:row>
      <xdr:rowOff>180975</xdr:rowOff>
    </xdr:from>
    <xdr:to>
      <xdr:col>7</xdr:col>
      <xdr:colOff>600075</xdr:colOff>
      <xdr:row>34</xdr:row>
      <xdr:rowOff>209550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B43C950D-8952-4AFA-A8DF-975A45003436}"/>
            </a:ext>
          </a:extLst>
        </xdr:cNvPr>
        <xdr:cNvSpPr/>
      </xdr:nvSpPr>
      <xdr:spPr>
        <a:xfrm rot="5400000">
          <a:off x="3614737" y="7881938"/>
          <a:ext cx="219075" cy="11430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19050</xdr:colOff>
      <xdr:row>33</xdr:row>
      <xdr:rowOff>180975</xdr:rowOff>
    </xdr:from>
    <xdr:to>
      <xdr:col>8</xdr:col>
      <xdr:colOff>133350</xdr:colOff>
      <xdr:row>34</xdr:row>
      <xdr:rowOff>209550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F1C6937E-BDD7-4E0F-8683-52498E09155D}"/>
            </a:ext>
          </a:extLst>
        </xdr:cNvPr>
        <xdr:cNvSpPr/>
      </xdr:nvSpPr>
      <xdr:spPr>
        <a:xfrm rot="5400000">
          <a:off x="3757612" y="7881938"/>
          <a:ext cx="219075" cy="114300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847725</xdr:colOff>
      <xdr:row>33</xdr:row>
      <xdr:rowOff>114300</xdr:rowOff>
    </xdr:from>
    <xdr:to>
      <xdr:col>6</xdr:col>
      <xdr:colOff>47625</xdr:colOff>
      <xdr:row>36</xdr:row>
      <xdr:rowOff>104775</xdr:rowOff>
    </xdr:to>
    <xdr:sp macro="" textlink="">
      <xdr:nvSpPr>
        <xdr:cNvPr id="90" name="Frame 89">
          <a:extLst>
            <a:ext uri="{FF2B5EF4-FFF2-40B4-BE49-F238E27FC236}">
              <a16:creationId xmlns:a16="http://schemas.microsoft.com/office/drawing/2014/main" id="{55AB82BC-203F-4EAB-8657-1CE38057D4FB}"/>
            </a:ext>
          </a:extLst>
        </xdr:cNvPr>
        <xdr:cNvSpPr/>
      </xdr:nvSpPr>
      <xdr:spPr>
        <a:xfrm flipH="1">
          <a:off x="2562225" y="7762875"/>
          <a:ext cx="57150" cy="590550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857249</xdr:colOff>
      <xdr:row>36</xdr:row>
      <xdr:rowOff>57150</xdr:rowOff>
    </xdr:from>
    <xdr:to>
      <xdr:col>7</xdr:col>
      <xdr:colOff>257174</xdr:colOff>
      <xdr:row>36</xdr:row>
      <xdr:rowOff>114300</xdr:rowOff>
    </xdr:to>
    <xdr:sp macro="" textlink="">
      <xdr:nvSpPr>
        <xdr:cNvPr id="91" name="Frame 90">
          <a:extLst>
            <a:ext uri="{FF2B5EF4-FFF2-40B4-BE49-F238E27FC236}">
              <a16:creationId xmlns:a16="http://schemas.microsoft.com/office/drawing/2014/main" id="{3B9B6393-5687-41E4-A4F3-211D15866158}"/>
            </a:ext>
          </a:extLst>
        </xdr:cNvPr>
        <xdr:cNvSpPr/>
      </xdr:nvSpPr>
      <xdr:spPr>
        <a:xfrm rot="5400000" flipH="1">
          <a:off x="2976562" y="7900987"/>
          <a:ext cx="57150" cy="866775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219075</xdr:colOff>
      <xdr:row>35</xdr:row>
      <xdr:rowOff>19049</xdr:rowOff>
    </xdr:from>
    <xdr:to>
      <xdr:col>7</xdr:col>
      <xdr:colOff>266700</xdr:colOff>
      <xdr:row>36</xdr:row>
      <xdr:rowOff>95249</xdr:rowOff>
    </xdr:to>
    <xdr:sp macro="" textlink="">
      <xdr:nvSpPr>
        <xdr:cNvPr id="92" name="Frame 91">
          <a:extLst>
            <a:ext uri="{FF2B5EF4-FFF2-40B4-BE49-F238E27FC236}">
              <a16:creationId xmlns:a16="http://schemas.microsoft.com/office/drawing/2014/main" id="{2E57B1B6-03EE-4664-9D57-39CC6142981E}"/>
            </a:ext>
          </a:extLst>
        </xdr:cNvPr>
        <xdr:cNvSpPr/>
      </xdr:nvSpPr>
      <xdr:spPr>
        <a:xfrm flipH="1">
          <a:off x="3400425" y="8067674"/>
          <a:ext cx="47625" cy="276225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238125</xdr:colOff>
      <xdr:row>33</xdr:row>
      <xdr:rowOff>114300</xdr:rowOff>
    </xdr:from>
    <xdr:to>
      <xdr:col>7</xdr:col>
      <xdr:colOff>276225</xdr:colOff>
      <xdr:row>33</xdr:row>
      <xdr:rowOff>171450</xdr:rowOff>
    </xdr:to>
    <xdr:sp macro="" textlink="">
      <xdr:nvSpPr>
        <xdr:cNvPr id="93" name="Frame 92">
          <a:extLst>
            <a:ext uri="{FF2B5EF4-FFF2-40B4-BE49-F238E27FC236}">
              <a16:creationId xmlns:a16="http://schemas.microsoft.com/office/drawing/2014/main" id="{7F633C89-9FF4-427E-8839-60E90DDA8A60}"/>
            </a:ext>
          </a:extLst>
        </xdr:cNvPr>
        <xdr:cNvSpPr/>
      </xdr:nvSpPr>
      <xdr:spPr>
        <a:xfrm rot="5400000" flipH="1">
          <a:off x="3105150" y="7467600"/>
          <a:ext cx="57150" cy="647700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828675</xdr:colOff>
      <xdr:row>31</xdr:row>
      <xdr:rowOff>114300</xdr:rowOff>
    </xdr:from>
    <xdr:to>
      <xdr:col>6</xdr:col>
      <xdr:colOff>17144</xdr:colOff>
      <xdr:row>33</xdr:row>
      <xdr:rowOff>114300</xdr:rowOff>
    </xdr:to>
    <xdr:sp macro="" textlink="">
      <xdr:nvSpPr>
        <xdr:cNvPr id="94" name="Frame 93">
          <a:extLst>
            <a:ext uri="{FF2B5EF4-FFF2-40B4-BE49-F238E27FC236}">
              <a16:creationId xmlns:a16="http://schemas.microsoft.com/office/drawing/2014/main" id="{970F4E39-DEA5-4401-B73E-030848D3FC49}"/>
            </a:ext>
          </a:extLst>
        </xdr:cNvPr>
        <xdr:cNvSpPr/>
      </xdr:nvSpPr>
      <xdr:spPr>
        <a:xfrm flipH="1">
          <a:off x="2543175" y="7315200"/>
          <a:ext cx="45719" cy="447675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228600</xdr:colOff>
      <xdr:row>31</xdr:row>
      <xdr:rowOff>104775</xdr:rowOff>
    </xdr:from>
    <xdr:to>
      <xdr:col>6</xdr:col>
      <xdr:colOff>274319</xdr:colOff>
      <xdr:row>33</xdr:row>
      <xdr:rowOff>104775</xdr:rowOff>
    </xdr:to>
    <xdr:sp macro="" textlink="">
      <xdr:nvSpPr>
        <xdr:cNvPr id="95" name="Frame 94">
          <a:extLst>
            <a:ext uri="{FF2B5EF4-FFF2-40B4-BE49-F238E27FC236}">
              <a16:creationId xmlns:a16="http://schemas.microsoft.com/office/drawing/2014/main" id="{6C893E97-EF83-414F-ACE2-766A41507332}"/>
            </a:ext>
          </a:extLst>
        </xdr:cNvPr>
        <xdr:cNvSpPr/>
      </xdr:nvSpPr>
      <xdr:spPr>
        <a:xfrm flipH="1">
          <a:off x="2800350" y="7305675"/>
          <a:ext cx="45719" cy="447675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299085</xdr:colOff>
      <xdr:row>35</xdr:row>
      <xdr:rowOff>5715</xdr:rowOff>
    </xdr:from>
    <xdr:to>
      <xdr:col>8</xdr:col>
      <xdr:colOff>127635</xdr:colOff>
      <xdr:row>35</xdr:row>
      <xdr:rowOff>51434</xdr:rowOff>
    </xdr:to>
    <xdr:sp macro="" textlink="">
      <xdr:nvSpPr>
        <xdr:cNvPr id="96" name="Frame 95">
          <a:extLst>
            <a:ext uri="{FF2B5EF4-FFF2-40B4-BE49-F238E27FC236}">
              <a16:creationId xmlns:a16="http://schemas.microsoft.com/office/drawing/2014/main" id="{8A7F07A7-E783-41B6-B28E-A8C223FB898A}"/>
            </a:ext>
          </a:extLst>
        </xdr:cNvPr>
        <xdr:cNvSpPr/>
      </xdr:nvSpPr>
      <xdr:spPr>
        <a:xfrm rot="5400000" flipH="1">
          <a:off x="3676650" y="7858125"/>
          <a:ext cx="45719" cy="438150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299085</xdr:colOff>
      <xdr:row>33</xdr:row>
      <xdr:rowOff>139065</xdr:rowOff>
    </xdr:from>
    <xdr:to>
      <xdr:col>8</xdr:col>
      <xdr:colOff>127635</xdr:colOff>
      <xdr:row>33</xdr:row>
      <xdr:rowOff>184784</xdr:rowOff>
    </xdr:to>
    <xdr:sp macro="" textlink="">
      <xdr:nvSpPr>
        <xdr:cNvPr id="97" name="Frame 96">
          <a:extLst>
            <a:ext uri="{FF2B5EF4-FFF2-40B4-BE49-F238E27FC236}">
              <a16:creationId xmlns:a16="http://schemas.microsoft.com/office/drawing/2014/main" id="{F85348ED-360C-4F53-88E8-66032C210DBE}"/>
            </a:ext>
          </a:extLst>
        </xdr:cNvPr>
        <xdr:cNvSpPr/>
      </xdr:nvSpPr>
      <xdr:spPr>
        <a:xfrm rot="5400000" flipH="1">
          <a:off x="3676650" y="7591425"/>
          <a:ext cx="45719" cy="438150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495300</xdr:colOff>
      <xdr:row>34</xdr:row>
      <xdr:rowOff>161925</xdr:rowOff>
    </xdr:from>
    <xdr:to>
      <xdr:col>4</xdr:col>
      <xdr:colOff>333375</xdr:colOff>
      <xdr:row>34</xdr:row>
      <xdr:rowOff>171450</xdr:rowOff>
    </xdr:to>
    <xdr:cxnSp macro="">
      <xdr:nvCxnSpPr>
        <xdr:cNvPr id="98" name="Straight Arrow Connector 97">
          <a:extLst>
            <a:ext uri="{FF2B5EF4-FFF2-40B4-BE49-F238E27FC236}">
              <a16:creationId xmlns:a16="http://schemas.microsoft.com/office/drawing/2014/main" id="{CF1116DE-AEEE-4BF1-9015-469BCDFBB65D}"/>
            </a:ext>
          </a:extLst>
        </xdr:cNvPr>
        <xdr:cNvCxnSpPr/>
      </xdr:nvCxnSpPr>
      <xdr:spPr>
        <a:xfrm flipV="1">
          <a:off x="733425" y="8010525"/>
          <a:ext cx="981075" cy="9525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328116</xdr:colOff>
      <xdr:row>33</xdr:row>
      <xdr:rowOff>95250</xdr:rowOff>
    </xdr:from>
    <xdr:ext cx="719634" cy="3086100"/>
    <xdr:sp macro="" textlink="">
      <xdr:nvSpPr>
        <xdr:cNvPr id="99" name="Frame 98">
          <a:extLst>
            <a:ext uri="{FF2B5EF4-FFF2-40B4-BE49-F238E27FC236}">
              <a16:creationId xmlns:a16="http://schemas.microsoft.com/office/drawing/2014/main" id="{29CD2055-07D7-48AC-A3EF-D1F914BAAD9A}"/>
            </a:ext>
          </a:extLst>
        </xdr:cNvPr>
        <xdr:cNvSpPr/>
      </xdr:nvSpPr>
      <xdr:spPr>
        <a:xfrm>
          <a:off x="242391" y="7743825"/>
          <a:ext cx="719634" cy="3086100"/>
        </a:xfrm>
        <a:prstGeom prst="frame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vert" wrap="none" lIns="0" tIns="1005840" rIns="182880" rtlCol="0" anchor="t">
          <a:noAutofit/>
        </a:bodyPr>
        <a:lstStyle/>
        <a:p>
          <a:pPr algn="l"/>
          <a:r>
            <a:rPr lang="en-US" sz="1100">
              <a:solidFill>
                <a:schemeClr val="tx1"/>
              </a:solidFill>
              <a:effectLst>
                <a:outerShdw blurRad="342900" dist="50800" dir="5400000" sx="97000" sy="97000" algn="ctr" rotWithShape="0">
                  <a:schemeClr val="accent2">
                    <a:lumMod val="75000"/>
                  </a:schemeClr>
                </a:outerShdw>
              </a:effectLst>
            </a:rPr>
            <a:t>shipping</a:t>
          </a:r>
          <a:r>
            <a:rPr lang="en-US" sz="1100">
              <a:solidFill>
                <a:schemeClr val="tx1"/>
              </a:solidFill>
              <a:effectLst>
                <a:outerShdw blurRad="76200" dist="50800" dir="5400000" algn="ctr" rotWithShape="0">
                  <a:schemeClr val="accent2">
                    <a:lumMod val="75000"/>
                  </a:schemeClr>
                </a:outerShdw>
              </a:effectLst>
            </a:rPr>
            <a:t> area</a:t>
          </a:r>
        </a:p>
      </xdr:txBody>
    </xdr:sp>
    <xdr:clientData/>
  </xdr:oneCellAnchor>
  <xdr:twoCellAnchor>
    <xdr:from>
      <xdr:col>17</xdr:col>
      <xdr:colOff>373604</xdr:colOff>
      <xdr:row>39</xdr:row>
      <xdr:rowOff>257786</xdr:rowOff>
    </xdr:from>
    <xdr:to>
      <xdr:col>19</xdr:col>
      <xdr:colOff>378098</xdr:colOff>
      <xdr:row>48</xdr:row>
      <xdr:rowOff>69816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40885C9F-4569-4D9A-B36A-98FBB219F705}"/>
            </a:ext>
          </a:extLst>
        </xdr:cNvPr>
        <xdr:cNvSpPr/>
      </xdr:nvSpPr>
      <xdr:spPr>
        <a:xfrm rot="2071367">
          <a:off x="8260304" y="9135086"/>
          <a:ext cx="1223694" cy="1736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5760" tIns="274320" rtlCol="0" anchor="t"/>
        <a:lstStyle/>
        <a:p>
          <a:pPr algn="l"/>
          <a:r>
            <a:rPr lang="en-US" sz="1100"/>
            <a:t>WAVING</a:t>
          </a:r>
        </a:p>
      </xdr:txBody>
    </xdr:sp>
    <xdr:clientData/>
  </xdr:twoCellAnchor>
  <xdr:twoCellAnchor>
    <xdr:from>
      <xdr:col>4</xdr:col>
      <xdr:colOff>409575</xdr:colOff>
      <xdr:row>34</xdr:row>
      <xdr:rowOff>180975</xdr:rowOff>
    </xdr:from>
    <xdr:to>
      <xdr:col>5</xdr:col>
      <xdr:colOff>723900</xdr:colOff>
      <xdr:row>34</xdr:row>
      <xdr:rowOff>190500</xdr:rowOff>
    </xdr:to>
    <xdr:cxnSp macro="">
      <xdr:nvCxnSpPr>
        <xdr:cNvPr id="101" name="Straight Connector 100">
          <a:extLst>
            <a:ext uri="{FF2B5EF4-FFF2-40B4-BE49-F238E27FC236}">
              <a16:creationId xmlns:a16="http://schemas.microsoft.com/office/drawing/2014/main" id="{3AFC57C8-CA01-4D71-8798-B4FFF91F264E}"/>
            </a:ext>
          </a:extLst>
        </xdr:cNvPr>
        <xdr:cNvCxnSpPr/>
      </xdr:nvCxnSpPr>
      <xdr:spPr>
        <a:xfrm>
          <a:off x="1714500" y="8029575"/>
          <a:ext cx="723900" cy="9525"/>
        </a:xfrm>
        <a:prstGeom prst="line">
          <a:avLst/>
        </a:prstGeom>
        <a:ln w="82550">
          <a:solidFill>
            <a:schemeClr val="tx1">
              <a:lumMod val="95000"/>
              <a:lumOff val="5000"/>
            </a:schemeClr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8</xdr:row>
      <xdr:rowOff>76200</xdr:rowOff>
    </xdr:from>
    <xdr:to>
      <xdr:col>7</xdr:col>
      <xdr:colOff>19050</xdr:colOff>
      <xdr:row>10</xdr:row>
      <xdr:rowOff>19050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1992B550-53A6-47BF-86FB-128393097CA5}"/>
            </a:ext>
          </a:extLst>
        </xdr:cNvPr>
        <xdr:cNvCxnSpPr/>
      </xdr:nvCxnSpPr>
      <xdr:spPr>
        <a:xfrm flipV="1">
          <a:off x="3200400" y="2609850"/>
          <a:ext cx="0" cy="323850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539750</xdr:colOff>
      <xdr:row>3</xdr:row>
      <xdr:rowOff>0</xdr:rowOff>
    </xdr:from>
    <xdr:to>
      <xdr:col>15</xdr:col>
      <xdr:colOff>2389188</xdr:colOff>
      <xdr:row>3</xdr:row>
      <xdr:rowOff>3175</xdr:rowOff>
    </xdr:to>
    <xdr:cxnSp macro="">
      <xdr:nvCxnSpPr>
        <xdr:cNvPr id="103" name="Straight Arrow Connector 102">
          <a:extLst>
            <a:ext uri="{FF2B5EF4-FFF2-40B4-BE49-F238E27FC236}">
              <a16:creationId xmlns:a16="http://schemas.microsoft.com/office/drawing/2014/main" id="{8AC8DC5E-752C-45B6-B318-4E567531638A}"/>
            </a:ext>
          </a:extLst>
        </xdr:cNvPr>
        <xdr:cNvCxnSpPr/>
      </xdr:nvCxnSpPr>
      <xdr:spPr>
        <a:xfrm>
          <a:off x="3721100" y="1581150"/>
          <a:ext cx="2011363" cy="3175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</xdr:colOff>
      <xdr:row>14</xdr:row>
      <xdr:rowOff>76200</xdr:rowOff>
    </xdr:from>
    <xdr:to>
      <xdr:col>18</xdr:col>
      <xdr:colOff>19050</xdr:colOff>
      <xdr:row>15</xdr:row>
      <xdr:rowOff>114300</xdr:rowOff>
    </xdr:to>
    <xdr:cxnSp macro="">
      <xdr:nvCxnSpPr>
        <xdr:cNvPr id="104" name="Straight Arrow Connector 103">
          <a:extLst>
            <a:ext uri="{FF2B5EF4-FFF2-40B4-BE49-F238E27FC236}">
              <a16:creationId xmlns:a16="http://schemas.microsoft.com/office/drawing/2014/main" id="{117FD4BE-AE3B-42A1-9401-701EE39CD8F5}"/>
            </a:ext>
          </a:extLst>
        </xdr:cNvPr>
        <xdr:cNvCxnSpPr/>
      </xdr:nvCxnSpPr>
      <xdr:spPr>
        <a:xfrm>
          <a:off x="8515350" y="3771900"/>
          <a:ext cx="0" cy="238125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607810</xdr:colOff>
      <xdr:row>40</xdr:row>
      <xdr:rowOff>18256</xdr:rowOff>
    </xdr:from>
    <xdr:to>
      <xdr:col>18</xdr:col>
      <xdr:colOff>0</xdr:colOff>
      <xdr:row>41</xdr:row>
      <xdr:rowOff>158750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356FF7-4D04-4EA3-8B92-9C4B67A825F3}"/>
            </a:ext>
          </a:extLst>
        </xdr:cNvPr>
        <xdr:cNvCxnSpPr/>
      </xdr:nvCxnSpPr>
      <xdr:spPr>
        <a:xfrm>
          <a:off x="8494510" y="9152731"/>
          <a:ext cx="1790" cy="378619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666750</xdr:colOff>
      <xdr:row>44</xdr:row>
      <xdr:rowOff>104775</xdr:rowOff>
    </xdr:from>
    <xdr:to>
      <xdr:col>6</xdr:col>
      <xdr:colOff>104775</xdr:colOff>
      <xdr:row>44</xdr:row>
      <xdr:rowOff>104775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15856C26-FAD5-48DD-82CE-BC6E5C9AF2DD}"/>
            </a:ext>
          </a:extLst>
        </xdr:cNvPr>
        <xdr:cNvCxnSpPr/>
      </xdr:nvCxnSpPr>
      <xdr:spPr>
        <a:xfrm flipH="1">
          <a:off x="2381250" y="10144125"/>
          <a:ext cx="295275" cy="0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504825</xdr:colOff>
      <xdr:row>7</xdr:row>
      <xdr:rowOff>104775</xdr:rowOff>
    </xdr:from>
    <xdr:to>
      <xdr:col>18</xdr:col>
      <xdr:colOff>600074</xdr:colOff>
      <xdr:row>9</xdr:row>
      <xdr:rowOff>9525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1BA9B40B-B0F3-4747-B3FD-467ABB453A54}"/>
            </a:ext>
          </a:extLst>
        </xdr:cNvPr>
        <xdr:cNvSpPr/>
      </xdr:nvSpPr>
      <xdr:spPr>
        <a:xfrm>
          <a:off x="9001125" y="2447925"/>
          <a:ext cx="95249" cy="285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536575</xdr:colOff>
      <xdr:row>7</xdr:row>
      <xdr:rowOff>127000</xdr:rowOff>
    </xdr:from>
    <xdr:to>
      <xdr:col>21</xdr:col>
      <xdr:colOff>22224</xdr:colOff>
      <xdr:row>9</xdr:row>
      <xdr:rowOff>38100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CC38160E-BEDA-4AFE-BDA5-1874A4AA8ACD}"/>
            </a:ext>
          </a:extLst>
        </xdr:cNvPr>
        <xdr:cNvSpPr/>
      </xdr:nvSpPr>
      <xdr:spPr>
        <a:xfrm>
          <a:off x="10252075" y="2470150"/>
          <a:ext cx="1219199" cy="2921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330200</xdr:colOff>
      <xdr:row>7</xdr:row>
      <xdr:rowOff>136525</xdr:rowOff>
    </xdr:from>
    <xdr:to>
      <xdr:col>20</xdr:col>
      <xdr:colOff>425449</xdr:colOff>
      <xdr:row>9</xdr:row>
      <xdr:rowOff>41275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94AF9383-6D4C-4E4D-ADA9-E941C1538C02}"/>
            </a:ext>
          </a:extLst>
        </xdr:cNvPr>
        <xdr:cNvSpPr/>
      </xdr:nvSpPr>
      <xdr:spPr>
        <a:xfrm>
          <a:off x="10045700" y="2479675"/>
          <a:ext cx="95249" cy="28575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485776</xdr:colOff>
      <xdr:row>7</xdr:row>
      <xdr:rowOff>50545</xdr:rowOff>
    </xdr:from>
    <xdr:to>
      <xdr:col>21</xdr:col>
      <xdr:colOff>28576</xdr:colOff>
      <xdr:row>7</xdr:row>
      <xdr:rowOff>158753</xdr:rowOff>
    </xdr:to>
    <xdr:sp macro="" textlink="">
      <xdr:nvSpPr>
        <xdr:cNvPr id="110" name="Flowchart: Manual Operation 109">
          <a:extLst>
            <a:ext uri="{FF2B5EF4-FFF2-40B4-BE49-F238E27FC236}">
              <a16:creationId xmlns:a16="http://schemas.microsoft.com/office/drawing/2014/main" id="{5850FFD0-9ADD-4600-8450-E1B6620A9999}"/>
            </a:ext>
          </a:extLst>
        </xdr:cNvPr>
        <xdr:cNvSpPr/>
      </xdr:nvSpPr>
      <xdr:spPr>
        <a:xfrm rot="16200000">
          <a:off x="10175747" y="1200024"/>
          <a:ext cx="108208" cy="2495550"/>
        </a:xfrm>
        <a:prstGeom prst="flowChartManualOperation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485776</xdr:colOff>
      <xdr:row>9</xdr:row>
      <xdr:rowOff>0</xdr:rowOff>
    </xdr:from>
    <xdr:to>
      <xdr:col>21</xdr:col>
      <xdr:colOff>0</xdr:colOff>
      <xdr:row>9</xdr:row>
      <xdr:rowOff>87375</xdr:rowOff>
    </xdr:to>
    <xdr:sp macro="" textlink="">
      <xdr:nvSpPr>
        <xdr:cNvPr id="111" name="Flowchart: Manual Operation 110">
          <a:extLst>
            <a:ext uri="{FF2B5EF4-FFF2-40B4-BE49-F238E27FC236}">
              <a16:creationId xmlns:a16="http://schemas.microsoft.com/office/drawing/2014/main" id="{C92E2F40-8856-42F8-B64D-5BFB86FB9CC4}"/>
            </a:ext>
          </a:extLst>
        </xdr:cNvPr>
        <xdr:cNvSpPr/>
      </xdr:nvSpPr>
      <xdr:spPr>
        <a:xfrm rot="16200000">
          <a:off x="10171875" y="1534351"/>
          <a:ext cx="87375" cy="2466974"/>
        </a:xfrm>
        <a:prstGeom prst="flowChartManualOperation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161925</xdr:colOff>
      <xdr:row>7</xdr:row>
      <xdr:rowOff>65881</xdr:rowOff>
    </xdr:from>
    <xdr:to>
      <xdr:col>17</xdr:col>
      <xdr:colOff>247649</xdr:colOff>
      <xdr:row>9</xdr:row>
      <xdr:rowOff>161924</xdr:rowOff>
    </xdr:to>
    <xdr:sp macro="" textlink="">
      <xdr:nvSpPr>
        <xdr:cNvPr id="112" name="Frame 111">
          <a:extLst>
            <a:ext uri="{FF2B5EF4-FFF2-40B4-BE49-F238E27FC236}">
              <a16:creationId xmlns:a16="http://schemas.microsoft.com/office/drawing/2014/main" id="{453C0989-8A16-4DF5-BD75-CC3C7274D1A9}"/>
            </a:ext>
          </a:extLst>
        </xdr:cNvPr>
        <xdr:cNvSpPr/>
      </xdr:nvSpPr>
      <xdr:spPr>
        <a:xfrm rot="16200000" flipV="1">
          <a:off x="7852965" y="2604691"/>
          <a:ext cx="477043" cy="85724"/>
        </a:xfrm>
        <a:prstGeom prst="frame">
          <a:avLst/>
        </a:prstGeom>
        <a:solidFill>
          <a:schemeClr val="accent4"/>
        </a:solidFill>
        <a:ln>
          <a:solidFill>
            <a:schemeClr val="accent4"/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710046</xdr:colOff>
      <xdr:row>41</xdr:row>
      <xdr:rowOff>180398</xdr:rowOff>
    </xdr:from>
    <xdr:to>
      <xdr:col>15</xdr:col>
      <xdr:colOff>910071</xdr:colOff>
      <xdr:row>43</xdr:row>
      <xdr:rowOff>299463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6C54ECCB-7963-405C-A000-D58EDA9A8CF8}"/>
            </a:ext>
          </a:extLst>
        </xdr:cNvPr>
        <xdr:cNvSpPr/>
      </xdr:nvSpPr>
      <xdr:spPr>
        <a:xfrm rot="5400000">
          <a:off x="5079639" y="9698255"/>
          <a:ext cx="490540" cy="200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48</a:t>
          </a:r>
        </a:p>
      </xdr:txBody>
    </xdr:sp>
    <xdr:clientData/>
  </xdr:twoCellAnchor>
  <xdr:twoCellAnchor>
    <xdr:from>
      <xdr:col>16</xdr:col>
      <xdr:colOff>119784</xdr:colOff>
      <xdr:row>44</xdr:row>
      <xdr:rowOff>304513</xdr:rowOff>
    </xdr:from>
    <xdr:to>
      <xdr:col>16</xdr:col>
      <xdr:colOff>357909</xdr:colOff>
      <xdr:row>47</xdr:row>
      <xdr:rowOff>121953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04F1BA44-1A2C-4B8A-BC1C-C500C65A58FB}"/>
            </a:ext>
          </a:extLst>
        </xdr:cNvPr>
        <xdr:cNvSpPr/>
      </xdr:nvSpPr>
      <xdr:spPr>
        <a:xfrm rot="5400000">
          <a:off x="5721277" y="10362120"/>
          <a:ext cx="50324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45</a:t>
          </a:r>
        </a:p>
      </xdr:txBody>
    </xdr:sp>
    <xdr:clientData/>
  </xdr:twoCellAnchor>
  <xdr:twoCellAnchor>
    <xdr:from>
      <xdr:col>15</xdr:col>
      <xdr:colOff>711489</xdr:colOff>
      <xdr:row>44</xdr:row>
      <xdr:rowOff>241012</xdr:rowOff>
    </xdr:from>
    <xdr:to>
      <xdr:col>15</xdr:col>
      <xdr:colOff>930564</xdr:colOff>
      <xdr:row>47</xdr:row>
      <xdr:rowOff>48349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6DF0E4BC-8978-45A5-92CF-B52369EFE27C}"/>
            </a:ext>
          </a:extLst>
        </xdr:cNvPr>
        <xdr:cNvSpPr/>
      </xdr:nvSpPr>
      <xdr:spPr>
        <a:xfrm rot="5400000">
          <a:off x="5122646" y="10336430"/>
          <a:ext cx="426462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47</a:t>
          </a:r>
        </a:p>
      </xdr:txBody>
    </xdr:sp>
    <xdr:clientData/>
  </xdr:twoCellAnchor>
  <xdr:twoCellAnchor>
    <xdr:from>
      <xdr:col>12</xdr:col>
      <xdr:colOff>600075</xdr:colOff>
      <xdr:row>3</xdr:row>
      <xdr:rowOff>19050</xdr:rowOff>
    </xdr:from>
    <xdr:to>
      <xdr:col>17</xdr:col>
      <xdr:colOff>600075</xdr:colOff>
      <xdr:row>10</xdr:row>
      <xdr:rowOff>19049</xdr:rowOff>
    </xdr:to>
    <xdr:sp macro="" textlink="">
      <xdr:nvSpPr>
        <xdr:cNvPr id="116" name="Arc 115">
          <a:extLst>
            <a:ext uri="{FF2B5EF4-FFF2-40B4-BE49-F238E27FC236}">
              <a16:creationId xmlns:a16="http://schemas.microsoft.com/office/drawing/2014/main" id="{DE491A5B-478C-479A-821E-DC5EA3443472}"/>
            </a:ext>
          </a:extLst>
        </xdr:cNvPr>
        <xdr:cNvSpPr/>
      </xdr:nvSpPr>
      <xdr:spPr>
        <a:xfrm>
          <a:off x="4086225" y="1600200"/>
          <a:ext cx="4400550" cy="1333499"/>
        </a:xfrm>
        <a:prstGeom prst="arc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19053</xdr:colOff>
      <xdr:row>3</xdr:row>
      <xdr:rowOff>0</xdr:rowOff>
    </xdr:from>
    <xdr:to>
      <xdr:col>14</xdr:col>
      <xdr:colOff>38102</xdr:colOff>
      <xdr:row>9</xdr:row>
      <xdr:rowOff>161925</xdr:rowOff>
    </xdr:to>
    <xdr:sp macro="" textlink="">
      <xdr:nvSpPr>
        <xdr:cNvPr id="117" name="Arc 116">
          <a:extLst>
            <a:ext uri="{FF2B5EF4-FFF2-40B4-BE49-F238E27FC236}">
              <a16:creationId xmlns:a16="http://schemas.microsoft.com/office/drawing/2014/main" id="{F68D3C3F-4995-442A-BF38-AFB86FEE9EC4}"/>
            </a:ext>
          </a:extLst>
        </xdr:cNvPr>
        <xdr:cNvSpPr/>
      </xdr:nvSpPr>
      <xdr:spPr>
        <a:xfrm rot="16200000">
          <a:off x="3009902" y="1771651"/>
          <a:ext cx="1304925" cy="923924"/>
        </a:xfrm>
        <a:prstGeom prst="arc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7</xdr:col>
      <xdr:colOff>19050</xdr:colOff>
      <xdr:row>34</xdr:row>
      <xdr:rowOff>152400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7BBF1899-C2B9-481A-8078-1C178A57F601}"/>
            </a:ext>
          </a:extLst>
        </xdr:cNvPr>
        <xdr:cNvCxnSpPr/>
      </xdr:nvCxnSpPr>
      <xdr:spPr>
        <a:xfrm flipH="1">
          <a:off x="3181350" y="2352675"/>
          <a:ext cx="19050" cy="5648325"/>
        </a:xfrm>
        <a:prstGeom prst="line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</xdr:colOff>
      <xdr:row>7</xdr:row>
      <xdr:rowOff>66675</xdr:rowOff>
    </xdr:from>
    <xdr:to>
      <xdr:col>18</xdr:col>
      <xdr:colOff>19050</xdr:colOff>
      <xdr:row>40</xdr:row>
      <xdr:rowOff>147637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A43B5840-BA7A-4637-BD30-7DAFAC861949}"/>
            </a:ext>
          </a:extLst>
        </xdr:cNvPr>
        <xdr:cNvCxnSpPr/>
      </xdr:nvCxnSpPr>
      <xdr:spPr>
        <a:xfrm flipH="1">
          <a:off x="8505825" y="2409825"/>
          <a:ext cx="9525" cy="6872287"/>
        </a:xfrm>
        <a:prstGeom prst="line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114301</xdr:colOff>
      <xdr:row>17</xdr:row>
      <xdr:rowOff>104773</xdr:rowOff>
    </xdr:from>
    <xdr:to>
      <xdr:col>18</xdr:col>
      <xdr:colOff>599868</xdr:colOff>
      <xdr:row>18</xdr:row>
      <xdr:rowOff>78925</xdr:rowOff>
    </xdr:to>
    <xdr:sp macro="" textlink="">
      <xdr:nvSpPr>
        <xdr:cNvPr id="120" name="Rectangle 119">
          <a:extLst>
            <a:ext uri="{FF2B5EF4-FFF2-40B4-BE49-F238E27FC236}">
              <a16:creationId xmlns:a16="http://schemas.microsoft.com/office/drawing/2014/main" id="{7B065044-D7A9-4E87-BEA9-921371A7CB12}"/>
            </a:ext>
          </a:extLst>
        </xdr:cNvPr>
        <xdr:cNvSpPr/>
      </xdr:nvSpPr>
      <xdr:spPr>
        <a:xfrm>
          <a:off x="8610601" y="4505323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23</a:t>
          </a:r>
        </a:p>
        <a:p>
          <a:pPr algn="l"/>
          <a:endParaRPr lang="en-US" sz="1100"/>
        </a:p>
      </xdr:txBody>
    </xdr:sp>
    <xdr:clientData/>
  </xdr:twoCellAnchor>
  <xdr:twoCellAnchor>
    <xdr:from>
      <xdr:col>18</xdr:col>
      <xdr:colOff>104776</xdr:colOff>
      <xdr:row>19</xdr:row>
      <xdr:rowOff>114298</xdr:rowOff>
    </xdr:from>
    <xdr:to>
      <xdr:col>18</xdr:col>
      <xdr:colOff>590343</xdr:colOff>
      <xdr:row>20</xdr:row>
      <xdr:rowOff>88450</xdr:rowOff>
    </xdr:to>
    <xdr:sp macro="" textlink="">
      <xdr:nvSpPr>
        <xdr:cNvPr id="121" name="Rectangle 120">
          <a:extLst>
            <a:ext uri="{FF2B5EF4-FFF2-40B4-BE49-F238E27FC236}">
              <a16:creationId xmlns:a16="http://schemas.microsoft.com/office/drawing/2014/main" id="{2165D876-2424-4D43-A026-E63E9FA7650B}"/>
            </a:ext>
          </a:extLst>
        </xdr:cNvPr>
        <xdr:cNvSpPr/>
      </xdr:nvSpPr>
      <xdr:spPr>
        <a:xfrm>
          <a:off x="8601076" y="4914898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25</a:t>
          </a:r>
        </a:p>
      </xdr:txBody>
    </xdr:sp>
    <xdr:clientData/>
  </xdr:twoCellAnchor>
  <xdr:twoCellAnchor>
    <xdr:from>
      <xdr:col>18</xdr:col>
      <xdr:colOff>114301</xdr:colOff>
      <xdr:row>21</xdr:row>
      <xdr:rowOff>104773</xdr:rowOff>
    </xdr:from>
    <xdr:to>
      <xdr:col>18</xdr:col>
      <xdr:colOff>599868</xdr:colOff>
      <xdr:row>22</xdr:row>
      <xdr:rowOff>78925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58D14B0F-31D4-4F4D-9D31-B039027DF1AB}"/>
            </a:ext>
          </a:extLst>
        </xdr:cNvPr>
        <xdr:cNvSpPr/>
      </xdr:nvSpPr>
      <xdr:spPr>
        <a:xfrm>
          <a:off x="8610601" y="5305423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27</a:t>
          </a:r>
        </a:p>
      </xdr:txBody>
    </xdr:sp>
    <xdr:clientData/>
  </xdr:twoCellAnchor>
  <xdr:twoCellAnchor>
    <xdr:from>
      <xdr:col>18</xdr:col>
      <xdr:colOff>114301</xdr:colOff>
      <xdr:row>23</xdr:row>
      <xdr:rowOff>95248</xdr:rowOff>
    </xdr:from>
    <xdr:to>
      <xdr:col>18</xdr:col>
      <xdr:colOff>599868</xdr:colOff>
      <xdr:row>24</xdr:row>
      <xdr:rowOff>69400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34C2DEEA-DE66-4977-90E4-0D561CD513BF}"/>
            </a:ext>
          </a:extLst>
        </xdr:cNvPr>
        <xdr:cNvSpPr/>
      </xdr:nvSpPr>
      <xdr:spPr>
        <a:xfrm>
          <a:off x="8610601" y="5695948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29</a:t>
          </a:r>
        </a:p>
        <a:p>
          <a:pPr algn="l"/>
          <a:endParaRPr lang="en-US" sz="1100"/>
        </a:p>
        <a:p>
          <a:pPr algn="l"/>
          <a:endParaRPr lang="en-US" sz="1100"/>
        </a:p>
      </xdr:txBody>
    </xdr:sp>
    <xdr:clientData/>
  </xdr:twoCellAnchor>
  <xdr:twoCellAnchor>
    <xdr:from>
      <xdr:col>18</xdr:col>
      <xdr:colOff>114301</xdr:colOff>
      <xdr:row>25</xdr:row>
      <xdr:rowOff>114298</xdr:rowOff>
    </xdr:from>
    <xdr:to>
      <xdr:col>18</xdr:col>
      <xdr:colOff>599868</xdr:colOff>
      <xdr:row>26</xdr:row>
      <xdr:rowOff>88450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0BCE7E78-030D-4667-A3C8-6BAEDAECB5F7}"/>
            </a:ext>
          </a:extLst>
        </xdr:cNvPr>
        <xdr:cNvSpPr/>
      </xdr:nvSpPr>
      <xdr:spPr>
        <a:xfrm>
          <a:off x="8610601" y="6115048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31</a:t>
          </a:r>
        </a:p>
      </xdr:txBody>
    </xdr:sp>
    <xdr:clientData/>
  </xdr:twoCellAnchor>
  <xdr:twoCellAnchor>
    <xdr:from>
      <xdr:col>18</xdr:col>
      <xdr:colOff>104776</xdr:colOff>
      <xdr:row>27</xdr:row>
      <xdr:rowOff>104773</xdr:rowOff>
    </xdr:from>
    <xdr:to>
      <xdr:col>18</xdr:col>
      <xdr:colOff>590343</xdr:colOff>
      <xdr:row>28</xdr:row>
      <xdr:rowOff>78925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7D35ED7E-1D80-4FE4-9A6F-4064ABDDEA59}"/>
            </a:ext>
          </a:extLst>
        </xdr:cNvPr>
        <xdr:cNvSpPr/>
      </xdr:nvSpPr>
      <xdr:spPr>
        <a:xfrm>
          <a:off x="8601076" y="6505573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33</a:t>
          </a:r>
        </a:p>
      </xdr:txBody>
    </xdr:sp>
    <xdr:clientData/>
  </xdr:twoCellAnchor>
  <xdr:twoCellAnchor>
    <xdr:from>
      <xdr:col>18</xdr:col>
      <xdr:colOff>114301</xdr:colOff>
      <xdr:row>31</xdr:row>
      <xdr:rowOff>104773</xdr:rowOff>
    </xdr:from>
    <xdr:to>
      <xdr:col>18</xdr:col>
      <xdr:colOff>599868</xdr:colOff>
      <xdr:row>32</xdr:row>
      <xdr:rowOff>78925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406AB302-261A-4A9D-9702-A51877897BEC}"/>
            </a:ext>
          </a:extLst>
        </xdr:cNvPr>
        <xdr:cNvSpPr/>
      </xdr:nvSpPr>
      <xdr:spPr>
        <a:xfrm>
          <a:off x="8610601" y="7305673"/>
          <a:ext cx="485567" cy="221802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37</a:t>
          </a:r>
        </a:p>
        <a:p>
          <a:pPr algn="l"/>
          <a:endParaRPr lang="en-US" sz="1100"/>
        </a:p>
      </xdr:txBody>
    </xdr:sp>
    <xdr:clientData/>
  </xdr:twoCellAnchor>
  <xdr:twoCellAnchor>
    <xdr:from>
      <xdr:col>18</xdr:col>
      <xdr:colOff>114301</xdr:colOff>
      <xdr:row>29</xdr:row>
      <xdr:rowOff>104773</xdr:rowOff>
    </xdr:from>
    <xdr:to>
      <xdr:col>18</xdr:col>
      <xdr:colOff>599868</xdr:colOff>
      <xdr:row>30</xdr:row>
      <xdr:rowOff>78925</xdr:rowOff>
    </xdr:to>
    <xdr:sp macro="" textlink="">
      <xdr:nvSpPr>
        <xdr:cNvPr id="127" name="Rectangle 126">
          <a:extLst>
            <a:ext uri="{FF2B5EF4-FFF2-40B4-BE49-F238E27FC236}">
              <a16:creationId xmlns:a16="http://schemas.microsoft.com/office/drawing/2014/main" id="{09BADE80-C415-449B-AAFA-68ED3DEF3908}"/>
            </a:ext>
          </a:extLst>
        </xdr:cNvPr>
        <xdr:cNvSpPr/>
      </xdr:nvSpPr>
      <xdr:spPr>
        <a:xfrm>
          <a:off x="8610601" y="6905623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35</a:t>
          </a:r>
        </a:p>
        <a:p>
          <a:pPr algn="l"/>
          <a:endParaRPr lang="en-US" sz="1100"/>
        </a:p>
      </xdr:txBody>
    </xdr:sp>
    <xdr:clientData/>
  </xdr:twoCellAnchor>
  <xdr:twoCellAnchor>
    <xdr:from>
      <xdr:col>18</xdr:col>
      <xdr:colOff>114301</xdr:colOff>
      <xdr:row>33</xdr:row>
      <xdr:rowOff>95248</xdr:rowOff>
    </xdr:from>
    <xdr:to>
      <xdr:col>18</xdr:col>
      <xdr:colOff>599868</xdr:colOff>
      <xdr:row>34</xdr:row>
      <xdr:rowOff>69400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D71E0343-490D-4301-9C1F-64AE3E302289}"/>
            </a:ext>
          </a:extLst>
        </xdr:cNvPr>
        <xdr:cNvSpPr/>
      </xdr:nvSpPr>
      <xdr:spPr>
        <a:xfrm>
          <a:off x="8610601" y="7743823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39</a:t>
          </a:r>
        </a:p>
      </xdr:txBody>
    </xdr:sp>
    <xdr:clientData/>
  </xdr:twoCellAnchor>
  <xdr:twoCellAnchor>
    <xdr:from>
      <xdr:col>18</xdr:col>
      <xdr:colOff>114301</xdr:colOff>
      <xdr:row>35</xdr:row>
      <xdr:rowOff>123823</xdr:rowOff>
    </xdr:from>
    <xdr:to>
      <xdr:col>18</xdr:col>
      <xdr:colOff>599868</xdr:colOff>
      <xdr:row>36</xdr:row>
      <xdr:rowOff>97975</xdr:rowOff>
    </xdr:to>
    <xdr:sp macro="" textlink="">
      <xdr:nvSpPr>
        <xdr:cNvPr id="129" name="Rectangle 128">
          <a:extLst>
            <a:ext uri="{FF2B5EF4-FFF2-40B4-BE49-F238E27FC236}">
              <a16:creationId xmlns:a16="http://schemas.microsoft.com/office/drawing/2014/main" id="{48E5DBE1-5929-4211-848F-9CFFACBCAE4D}"/>
            </a:ext>
          </a:extLst>
        </xdr:cNvPr>
        <xdr:cNvSpPr/>
      </xdr:nvSpPr>
      <xdr:spPr>
        <a:xfrm>
          <a:off x="8610601" y="8172448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41</a:t>
          </a:r>
        </a:p>
      </xdr:txBody>
    </xdr:sp>
    <xdr:clientData/>
  </xdr:twoCellAnchor>
  <xdr:twoCellAnchor>
    <xdr:from>
      <xdr:col>18</xdr:col>
      <xdr:colOff>104776</xdr:colOff>
      <xdr:row>37</xdr:row>
      <xdr:rowOff>114299</xdr:rowOff>
    </xdr:from>
    <xdr:to>
      <xdr:col>18</xdr:col>
      <xdr:colOff>599679</xdr:colOff>
      <xdr:row>38</xdr:row>
      <xdr:rowOff>78765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72018EC5-ABEB-41D0-8473-38D08E995F86}"/>
            </a:ext>
          </a:extLst>
        </xdr:cNvPr>
        <xdr:cNvSpPr/>
      </xdr:nvSpPr>
      <xdr:spPr>
        <a:xfrm>
          <a:off x="8601076" y="8562974"/>
          <a:ext cx="494903" cy="164491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43</a:t>
          </a:r>
        </a:p>
      </xdr:txBody>
    </xdr:sp>
    <xdr:clientData/>
  </xdr:twoCellAnchor>
  <xdr:twoCellAnchor>
    <xdr:from>
      <xdr:col>3</xdr:col>
      <xdr:colOff>19050</xdr:colOff>
      <xdr:row>28</xdr:row>
      <xdr:rowOff>180976</xdr:rowOff>
    </xdr:from>
    <xdr:to>
      <xdr:col>3</xdr:col>
      <xdr:colOff>600075</xdr:colOff>
      <xdr:row>30</xdr:row>
      <xdr:rowOff>171450</xdr:rowOff>
    </xdr:to>
    <xdr:sp macro="" textlink="">
      <xdr:nvSpPr>
        <xdr:cNvPr id="131" name="Rectangle 130">
          <a:extLst>
            <a:ext uri="{FF2B5EF4-FFF2-40B4-BE49-F238E27FC236}">
              <a16:creationId xmlns:a16="http://schemas.microsoft.com/office/drawing/2014/main" id="{AD4D3CF4-7FB1-4F3C-93C2-2079756E3D9C}"/>
            </a:ext>
          </a:extLst>
        </xdr:cNvPr>
        <xdr:cNvSpPr/>
      </xdr:nvSpPr>
      <xdr:spPr>
        <a:xfrm>
          <a:off x="866775" y="6781801"/>
          <a:ext cx="581025" cy="390524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</a:t>
          </a:r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1361</xdr:colOff>
      <xdr:row>17</xdr:row>
      <xdr:rowOff>114299</xdr:rowOff>
    </xdr:from>
    <xdr:to>
      <xdr:col>17</xdr:col>
      <xdr:colOff>533618</xdr:colOff>
      <xdr:row>18</xdr:row>
      <xdr:rowOff>107822</xdr:rowOff>
    </xdr:to>
    <xdr:sp macro="" textlink="">
      <xdr:nvSpPr>
        <xdr:cNvPr id="132" name="Rectangle 131">
          <a:extLst>
            <a:ext uri="{FF2B5EF4-FFF2-40B4-BE49-F238E27FC236}">
              <a16:creationId xmlns:a16="http://schemas.microsoft.com/office/drawing/2014/main" id="{85E096FC-B038-411B-9B7D-CC80CFFB40E2}"/>
            </a:ext>
          </a:extLst>
        </xdr:cNvPr>
        <xdr:cNvSpPr/>
      </xdr:nvSpPr>
      <xdr:spPr>
        <a:xfrm>
          <a:off x="7920718" y="4536620"/>
          <a:ext cx="532257" cy="197631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24</a:t>
          </a:r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19</xdr:row>
      <xdr:rowOff>104774</xdr:rowOff>
    </xdr:from>
    <xdr:to>
      <xdr:col>17</xdr:col>
      <xdr:colOff>532257</xdr:colOff>
      <xdr:row>20</xdr:row>
      <xdr:rowOff>98297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2260B9F6-0EC4-4B7B-9FC5-0398B2840CDD}"/>
            </a:ext>
          </a:extLst>
        </xdr:cNvPr>
        <xdr:cNvSpPr/>
      </xdr:nvSpPr>
      <xdr:spPr>
        <a:xfrm>
          <a:off x="7886700" y="4905374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26</a:t>
          </a:r>
        </a:p>
      </xdr:txBody>
    </xdr:sp>
    <xdr:clientData/>
  </xdr:twoCellAnchor>
  <xdr:twoCellAnchor>
    <xdr:from>
      <xdr:col>17</xdr:col>
      <xdr:colOff>9525</xdr:colOff>
      <xdr:row>21</xdr:row>
      <xdr:rowOff>95249</xdr:rowOff>
    </xdr:from>
    <xdr:to>
      <xdr:col>17</xdr:col>
      <xdr:colOff>541782</xdr:colOff>
      <xdr:row>22</xdr:row>
      <xdr:rowOff>88772</xdr:rowOff>
    </xdr:to>
    <xdr:sp macro="" textlink="">
      <xdr:nvSpPr>
        <xdr:cNvPr id="134" name="Rectangle 133">
          <a:extLst>
            <a:ext uri="{FF2B5EF4-FFF2-40B4-BE49-F238E27FC236}">
              <a16:creationId xmlns:a16="http://schemas.microsoft.com/office/drawing/2014/main" id="{1F170F01-79C3-4386-8E7B-ADA8D16EA918}"/>
            </a:ext>
          </a:extLst>
        </xdr:cNvPr>
        <xdr:cNvSpPr/>
      </xdr:nvSpPr>
      <xdr:spPr>
        <a:xfrm>
          <a:off x="7896225" y="5295899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28</a:t>
          </a:r>
        </a:p>
      </xdr:txBody>
    </xdr:sp>
    <xdr:clientData/>
  </xdr:twoCellAnchor>
  <xdr:twoCellAnchor>
    <xdr:from>
      <xdr:col>17</xdr:col>
      <xdr:colOff>9525</xdr:colOff>
      <xdr:row>23</xdr:row>
      <xdr:rowOff>85724</xdr:rowOff>
    </xdr:from>
    <xdr:to>
      <xdr:col>17</xdr:col>
      <xdr:colOff>541782</xdr:colOff>
      <xdr:row>24</xdr:row>
      <xdr:rowOff>79247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63E689CB-CEC6-4376-B40D-1885B0987DBB}"/>
            </a:ext>
          </a:extLst>
        </xdr:cNvPr>
        <xdr:cNvSpPr/>
      </xdr:nvSpPr>
      <xdr:spPr>
        <a:xfrm>
          <a:off x="7896225" y="5686424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30</a:t>
          </a:r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9525</xdr:colOff>
      <xdr:row>25</xdr:row>
      <xdr:rowOff>104774</xdr:rowOff>
    </xdr:from>
    <xdr:to>
      <xdr:col>17</xdr:col>
      <xdr:colOff>541782</xdr:colOff>
      <xdr:row>26</xdr:row>
      <xdr:rowOff>98297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A9D455FE-8416-4FB9-A599-BE29A7D5C344}"/>
            </a:ext>
          </a:extLst>
        </xdr:cNvPr>
        <xdr:cNvSpPr/>
      </xdr:nvSpPr>
      <xdr:spPr>
        <a:xfrm>
          <a:off x="7896225" y="6105524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32</a:t>
          </a:r>
        </a:p>
      </xdr:txBody>
    </xdr:sp>
    <xdr:clientData/>
  </xdr:twoCellAnchor>
  <xdr:twoCellAnchor>
    <xdr:from>
      <xdr:col>17</xdr:col>
      <xdr:colOff>0</xdr:colOff>
      <xdr:row>27</xdr:row>
      <xdr:rowOff>95249</xdr:rowOff>
    </xdr:from>
    <xdr:to>
      <xdr:col>17</xdr:col>
      <xdr:colOff>532257</xdr:colOff>
      <xdr:row>28</xdr:row>
      <xdr:rowOff>88772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F3D9368C-F320-4EBD-976E-18BC54F2BF53}"/>
            </a:ext>
          </a:extLst>
        </xdr:cNvPr>
        <xdr:cNvSpPr/>
      </xdr:nvSpPr>
      <xdr:spPr>
        <a:xfrm>
          <a:off x="7886700" y="6496049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34</a:t>
          </a:r>
        </a:p>
      </xdr:txBody>
    </xdr:sp>
    <xdr:clientData/>
  </xdr:twoCellAnchor>
  <xdr:twoCellAnchor>
    <xdr:from>
      <xdr:col>17</xdr:col>
      <xdr:colOff>9525</xdr:colOff>
      <xdr:row>31</xdr:row>
      <xdr:rowOff>95249</xdr:rowOff>
    </xdr:from>
    <xdr:to>
      <xdr:col>17</xdr:col>
      <xdr:colOff>541782</xdr:colOff>
      <xdr:row>32</xdr:row>
      <xdr:rowOff>88772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30BF9C5A-4BEB-4AC5-8E8C-4B1338FF43E1}"/>
            </a:ext>
          </a:extLst>
        </xdr:cNvPr>
        <xdr:cNvSpPr/>
      </xdr:nvSpPr>
      <xdr:spPr>
        <a:xfrm>
          <a:off x="7896225" y="7296149"/>
          <a:ext cx="532257" cy="241173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38</a:t>
          </a:r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9525</xdr:colOff>
      <xdr:row>29</xdr:row>
      <xdr:rowOff>95249</xdr:rowOff>
    </xdr:from>
    <xdr:to>
      <xdr:col>17</xdr:col>
      <xdr:colOff>541782</xdr:colOff>
      <xdr:row>30</xdr:row>
      <xdr:rowOff>88772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8B932314-F5CF-438D-891D-684E5D982CF1}"/>
            </a:ext>
          </a:extLst>
        </xdr:cNvPr>
        <xdr:cNvSpPr/>
      </xdr:nvSpPr>
      <xdr:spPr>
        <a:xfrm>
          <a:off x="7896225" y="6896099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36</a:t>
          </a:r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9525</xdr:colOff>
      <xdr:row>33</xdr:row>
      <xdr:rowOff>85724</xdr:rowOff>
    </xdr:from>
    <xdr:to>
      <xdr:col>17</xdr:col>
      <xdr:colOff>541782</xdr:colOff>
      <xdr:row>34</xdr:row>
      <xdr:rowOff>79247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A7D3329F-5400-422D-A9A9-378FBC73345D}"/>
            </a:ext>
          </a:extLst>
        </xdr:cNvPr>
        <xdr:cNvSpPr/>
      </xdr:nvSpPr>
      <xdr:spPr>
        <a:xfrm>
          <a:off x="7896225" y="7734299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40</a:t>
          </a:r>
        </a:p>
      </xdr:txBody>
    </xdr:sp>
    <xdr:clientData/>
  </xdr:twoCellAnchor>
  <xdr:twoCellAnchor>
    <xdr:from>
      <xdr:col>17</xdr:col>
      <xdr:colOff>9525</xdr:colOff>
      <xdr:row>35</xdr:row>
      <xdr:rowOff>114299</xdr:rowOff>
    </xdr:from>
    <xdr:to>
      <xdr:col>17</xdr:col>
      <xdr:colOff>541782</xdr:colOff>
      <xdr:row>36</xdr:row>
      <xdr:rowOff>107822</xdr:rowOff>
    </xdr:to>
    <xdr:sp macro="" textlink="">
      <xdr:nvSpPr>
        <xdr:cNvPr id="141" name="Rectangle 140">
          <a:extLst>
            <a:ext uri="{FF2B5EF4-FFF2-40B4-BE49-F238E27FC236}">
              <a16:creationId xmlns:a16="http://schemas.microsoft.com/office/drawing/2014/main" id="{443628A0-B4DB-495D-9BEC-4934297D2F04}"/>
            </a:ext>
          </a:extLst>
        </xdr:cNvPr>
        <xdr:cNvSpPr/>
      </xdr:nvSpPr>
      <xdr:spPr>
        <a:xfrm>
          <a:off x="7896225" y="8162924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42</a:t>
          </a:r>
        </a:p>
      </xdr:txBody>
    </xdr:sp>
    <xdr:clientData/>
  </xdr:twoCellAnchor>
  <xdr:twoCellAnchor>
    <xdr:from>
      <xdr:col>17</xdr:col>
      <xdr:colOff>0</xdr:colOff>
      <xdr:row>37</xdr:row>
      <xdr:rowOff>104774</xdr:rowOff>
    </xdr:from>
    <xdr:to>
      <xdr:col>17</xdr:col>
      <xdr:colOff>532257</xdr:colOff>
      <xdr:row>38</xdr:row>
      <xdr:rowOff>98297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F43D9065-DB41-4523-A614-1D0D63026275}"/>
            </a:ext>
          </a:extLst>
        </xdr:cNvPr>
        <xdr:cNvSpPr/>
      </xdr:nvSpPr>
      <xdr:spPr>
        <a:xfrm>
          <a:off x="7886700" y="8553449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44</a:t>
          </a:r>
        </a:p>
      </xdr:txBody>
    </xdr:sp>
    <xdr:clientData/>
  </xdr:twoCellAnchor>
  <xdr:twoCellAnchor>
    <xdr:from>
      <xdr:col>12</xdr:col>
      <xdr:colOff>455372</xdr:colOff>
      <xdr:row>41</xdr:row>
      <xdr:rowOff>127007</xdr:rowOff>
    </xdr:from>
    <xdr:to>
      <xdr:col>18</xdr:col>
      <xdr:colOff>13120</xdr:colOff>
      <xdr:row>44</xdr:row>
      <xdr:rowOff>115566</xdr:rowOff>
    </xdr:to>
    <xdr:sp macro="" textlink="">
      <xdr:nvSpPr>
        <xdr:cNvPr id="143" name="Arc 142">
          <a:extLst>
            <a:ext uri="{FF2B5EF4-FFF2-40B4-BE49-F238E27FC236}">
              <a16:creationId xmlns:a16="http://schemas.microsoft.com/office/drawing/2014/main" id="{8BBC32B8-4217-469D-90A2-D6F9F5718407}"/>
            </a:ext>
          </a:extLst>
        </xdr:cNvPr>
        <xdr:cNvSpPr/>
      </xdr:nvSpPr>
      <xdr:spPr>
        <a:xfrm rot="5136640">
          <a:off x="5970168" y="7615664"/>
          <a:ext cx="655309" cy="4423195"/>
        </a:xfrm>
        <a:prstGeom prst="arc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600666</xdr:colOff>
      <xdr:row>39</xdr:row>
      <xdr:rowOff>202406</xdr:rowOff>
    </xdr:from>
    <xdr:to>
      <xdr:col>18</xdr:col>
      <xdr:colOff>0</xdr:colOff>
      <xdr:row>43</xdr:row>
      <xdr:rowOff>0</xdr:rowOff>
    </xdr:to>
    <xdr:cxnSp macro="">
      <xdr:nvCxnSpPr>
        <xdr:cNvPr id="144" name="Straight Connector 143">
          <a:extLst>
            <a:ext uri="{FF2B5EF4-FFF2-40B4-BE49-F238E27FC236}">
              <a16:creationId xmlns:a16="http://schemas.microsoft.com/office/drawing/2014/main" id="{734F55E9-EC7C-4F76-8881-152377E19CF4}"/>
            </a:ext>
          </a:extLst>
        </xdr:cNvPr>
        <xdr:cNvCxnSpPr/>
      </xdr:nvCxnSpPr>
      <xdr:spPr>
        <a:xfrm flipH="1">
          <a:off x="8487366" y="9098756"/>
          <a:ext cx="8934" cy="750094"/>
        </a:xfrm>
        <a:prstGeom prst="line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104776</xdr:colOff>
      <xdr:row>13</xdr:row>
      <xdr:rowOff>133349</xdr:rowOff>
    </xdr:from>
    <xdr:to>
      <xdr:col>7</xdr:col>
      <xdr:colOff>590343</xdr:colOff>
      <xdr:row>14</xdr:row>
      <xdr:rowOff>133350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5F603A88-E955-45A0-A2F7-0B7C9DAD1985}"/>
            </a:ext>
          </a:extLst>
        </xdr:cNvPr>
        <xdr:cNvSpPr/>
      </xdr:nvSpPr>
      <xdr:spPr>
        <a:xfrm>
          <a:off x="3286126" y="3629024"/>
          <a:ext cx="485567" cy="200026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20</a:t>
          </a:r>
        </a:p>
      </xdr:txBody>
    </xdr:sp>
    <xdr:clientData/>
  </xdr:twoCellAnchor>
  <xdr:twoCellAnchor>
    <xdr:from>
      <xdr:col>7</xdr:col>
      <xdr:colOff>104776</xdr:colOff>
      <xdr:row>15</xdr:row>
      <xdr:rowOff>95249</xdr:rowOff>
    </xdr:from>
    <xdr:to>
      <xdr:col>7</xdr:col>
      <xdr:colOff>590343</xdr:colOff>
      <xdr:row>16</xdr:row>
      <xdr:rowOff>69401</xdr:rowOff>
    </xdr:to>
    <xdr:sp macro="" textlink="">
      <xdr:nvSpPr>
        <xdr:cNvPr id="146" name="Rectangle 145">
          <a:extLst>
            <a:ext uri="{FF2B5EF4-FFF2-40B4-BE49-F238E27FC236}">
              <a16:creationId xmlns:a16="http://schemas.microsoft.com/office/drawing/2014/main" id="{8D568208-86FD-4FC2-8734-B5A6CA4AD4FE}"/>
            </a:ext>
          </a:extLst>
        </xdr:cNvPr>
        <xdr:cNvSpPr/>
      </xdr:nvSpPr>
      <xdr:spPr>
        <a:xfrm>
          <a:off x="3286126" y="3990974"/>
          <a:ext cx="485567" cy="278952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18</a:t>
          </a:r>
        </a:p>
      </xdr:txBody>
    </xdr:sp>
    <xdr:clientData/>
  </xdr:twoCellAnchor>
  <xdr:twoCellAnchor>
    <xdr:from>
      <xdr:col>7</xdr:col>
      <xdr:colOff>104776</xdr:colOff>
      <xdr:row>17</xdr:row>
      <xdr:rowOff>85724</xdr:rowOff>
    </xdr:from>
    <xdr:to>
      <xdr:col>7</xdr:col>
      <xdr:colOff>590343</xdr:colOff>
      <xdr:row>18</xdr:row>
      <xdr:rowOff>59876</xdr:rowOff>
    </xdr:to>
    <xdr:sp macro="" textlink="">
      <xdr:nvSpPr>
        <xdr:cNvPr id="147" name="Rectangle 146">
          <a:extLst>
            <a:ext uri="{FF2B5EF4-FFF2-40B4-BE49-F238E27FC236}">
              <a16:creationId xmlns:a16="http://schemas.microsoft.com/office/drawing/2014/main" id="{B80AB16C-EA92-4756-97F4-9B0982B704B1}"/>
            </a:ext>
          </a:extLst>
        </xdr:cNvPr>
        <xdr:cNvSpPr/>
      </xdr:nvSpPr>
      <xdr:spPr>
        <a:xfrm>
          <a:off x="3286126" y="4486274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16</a:t>
          </a:r>
        </a:p>
        <a:p>
          <a:pPr algn="l"/>
          <a:endParaRPr lang="en-US" sz="1100"/>
        </a:p>
      </xdr:txBody>
    </xdr:sp>
    <xdr:clientData/>
  </xdr:twoCellAnchor>
  <xdr:twoCellAnchor>
    <xdr:from>
      <xdr:col>7</xdr:col>
      <xdr:colOff>104776</xdr:colOff>
      <xdr:row>19</xdr:row>
      <xdr:rowOff>104774</xdr:rowOff>
    </xdr:from>
    <xdr:to>
      <xdr:col>7</xdr:col>
      <xdr:colOff>590343</xdr:colOff>
      <xdr:row>20</xdr:row>
      <xdr:rowOff>78926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AF8A0FA-6DF0-473D-914B-E5614BF66571}"/>
            </a:ext>
          </a:extLst>
        </xdr:cNvPr>
        <xdr:cNvSpPr/>
      </xdr:nvSpPr>
      <xdr:spPr>
        <a:xfrm>
          <a:off x="3286126" y="4905374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14</a:t>
          </a:r>
        </a:p>
      </xdr:txBody>
    </xdr:sp>
    <xdr:clientData/>
  </xdr:twoCellAnchor>
  <xdr:twoCellAnchor>
    <xdr:from>
      <xdr:col>7</xdr:col>
      <xdr:colOff>95251</xdr:colOff>
      <xdr:row>21</xdr:row>
      <xdr:rowOff>95249</xdr:rowOff>
    </xdr:from>
    <xdr:to>
      <xdr:col>7</xdr:col>
      <xdr:colOff>580818</xdr:colOff>
      <xdr:row>22</xdr:row>
      <xdr:rowOff>69401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69D95EE6-BA4D-48AC-A2EE-4A5ECCBCEFD1}"/>
            </a:ext>
          </a:extLst>
        </xdr:cNvPr>
        <xdr:cNvSpPr/>
      </xdr:nvSpPr>
      <xdr:spPr>
        <a:xfrm>
          <a:off x="3276601" y="5295899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12</a:t>
          </a:r>
        </a:p>
      </xdr:txBody>
    </xdr:sp>
    <xdr:clientData/>
  </xdr:twoCellAnchor>
  <xdr:twoCellAnchor>
    <xdr:from>
      <xdr:col>7</xdr:col>
      <xdr:colOff>104776</xdr:colOff>
      <xdr:row>25</xdr:row>
      <xdr:rowOff>95249</xdr:rowOff>
    </xdr:from>
    <xdr:to>
      <xdr:col>7</xdr:col>
      <xdr:colOff>590343</xdr:colOff>
      <xdr:row>26</xdr:row>
      <xdr:rowOff>69401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74F881D0-42B3-4E69-8C8F-DA4C30A89B0D}"/>
            </a:ext>
          </a:extLst>
        </xdr:cNvPr>
        <xdr:cNvSpPr/>
      </xdr:nvSpPr>
      <xdr:spPr>
        <a:xfrm>
          <a:off x="3286126" y="6095999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8</a:t>
          </a:r>
        </a:p>
      </xdr:txBody>
    </xdr:sp>
    <xdr:clientData/>
  </xdr:twoCellAnchor>
  <xdr:twoCellAnchor>
    <xdr:from>
      <xdr:col>7</xdr:col>
      <xdr:colOff>104776</xdr:colOff>
      <xdr:row>23</xdr:row>
      <xdr:rowOff>95249</xdr:rowOff>
    </xdr:from>
    <xdr:to>
      <xdr:col>7</xdr:col>
      <xdr:colOff>590343</xdr:colOff>
      <xdr:row>24</xdr:row>
      <xdr:rowOff>69401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F12277-6A7C-4B0A-9727-4E732500A757}"/>
            </a:ext>
          </a:extLst>
        </xdr:cNvPr>
        <xdr:cNvSpPr/>
      </xdr:nvSpPr>
      <xdr:spPr>
        <a:xfrm>
          <a:off x="3286126" y="5695949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10</a:t>
          </a:r>
        </a:p>
      </xdr:txBody>
    </xdr:sp>
    <xdr:clientData/>
  </xdr:twoCellAnchor>
  <xdr:twoCellAnchor>
    <xdr:from>
      <xdr:col>7</xdr:col>
      <xdr:colOff>104776</xdr:colOff>
      <xdr:row>27</xdr:row>
      <xdr:rowOff>85724</xdr:rowOff>
    </xdr:from>
    <xdr:to>
      <xdr:col>7</xdr:col>
      <xdr:colOff>590343</xdr:colOff>
      <xdr:row>28</xdr:row>
      <xdr:rowOff>59876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459EB559-CF2B-4AE0-BD46-EC5C3C048398}"/>
            </a:ext>
          </a:extLst>
        </xdr:cNvPr>
        <xdr:cNvSpPr/>
      </xdr:nvSpPr>
      <xdr:spPr>
        <a:xfrm>
          <a:off x="3286126" y="6486524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104776</xdr:colOff>
      <xdr:row>29</xdr:row>
      <xdr:rowOff>114299</xdr:rowOff>
    </xdr:from>
    <xdr:to>
      <xdr:col>7</xdr:col>
      <xdr:colOff>590343</xdr:colOff>
      <xdr:row>30</xdr:row>
      <xdr:rowOff>88451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D7D9DD6C-550B-460D-A8A2-0B183B7EBBD1}"/>
            </a:ext>
          </a:extLst>
        </xdr:cNvPr>
        <xdr:cNvSpPr/>
      </xdr:nvSpPr>
      <xdr:spPr>
        <a:xfrm>
          <a:off x="3286126" y="6915149"/>
          <a:ext cx="485567" cy="174177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95251</xdr:colOff>
      <xdr:row>31</xdr:row>
      <xdr:rowOff>104775</xdr:rowOff>
    </xdr:from>
    <xdr:to>
      <xdr:col>7</xdr:col>
      <xdr:colOff>590154</xdr:colOff>
      <xdr:row>32</xdr:row>
      <xdr:rowOff>69241</xdr:rowOff>
    </xdr:to>
    <xdr:sp macro="" textlink="">
      <xdr:nvSpPr>
        <xdr:cNvPr id="154" name="Rectangle 153">
          <a:extLst>
            <a:ext uri="{FF2B5EF4-FFF2-40B4-BE49-F238E27FC236}">
              <a16:creationId xmlns:a16="http://schemas.microsoft.com/office/drawing/2014/main" id="{A5C4B5B6-19CB-4807-AFA6-59E442EA1FDF}"/>
            </a:ext>
          </a:extLst>
        </xdr:cNvPr>
        <xdr:cNvSpPr/>
      </xdr:nvSpPr>
      <xdr:spPr>
        <a:xfrm>
          <a:off x="3276601" y="7305675"/>
          <a:ext cx="494903" cy="212116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2</a:t>
          </a:r>
        </a:p>
        <a:p>
          <a:pPr algn="l"/>
          <a:endParaRPr lang="en-US" sz="1100"/>
        </a:p>
      </xdr:txBody>
    </xdr:sp>
    <xdr:clientData/>
  </xdr:twoCellAnchor>
  <xdr:twoCellAnchor>
    <xdr:from>
      <xdr:col>5</xdr:col>
      <xdr:colOff>847725</xdr:colOff>
      <xdr:row>13</xdr:row>
      <xdr:rowOff>123825</xdr:rowOff>
    </xdr:from>
    <xdr:to>
      <xdr:col>6</xdr:col>
      <xdr:colOff>541782</xdr:colOff>
      <xdr:row>14</xdr:row>
      <xdr:rowOff>117348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6581F56A-8A8A-43AB-8E04-103862F51B05}"/>
            </a:ext>
          </a:extLst>
        </xdr:cNvPr>
        <xdr:cNvSpPr/>
      </xdr:nvSpPr>
      <xdr:spPr>
        <a:xfrm>
          <a:off x="2562225" y="3619500"/>
          <a:ext cx="55130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19</a:t>
          </a:r>
        </a:p>
      </xdr:txBody>
    </xdr:sp>
    <xdr:clientData/>
  </xdr:twoCellAnchor>
  <xdr:twoCellAnchor>
    <xdr:from>
      <xdr:col>6</xdr:col>
      <xdr:colOff>0</xdr:colOff>
      <xdr:row>15</xdr:row>
      <xdr:rowOff>85725</xdr:rowOff>
    </xdr:from>
    <xdr:to>
      <xdr:col>6</xdr:col>
      <xdr:colOff>532257</xdr:colOff>
      <xdr:row>16</xdr:row>
      <xdr:rowOff>79248</xdr:rowOff>
    </xdr:to>
    <xdr:sp macro="" textlink="">
      <xdr:nvSpPr>
        <xdr:cNvPr id="156" name="Rectangle 155">
          <a:extLst>
            <a:ext uri="{FF2B5EF4-FFF2-40B4-BE49-F238E27FC236}">
              <a16:creationId xmlns:a16="http://schemas.microsoft.com/office/drawing/2014/main" id="{373B5224-D64F-459D-97A3-0F54AB677C82}"/>
            </a:ext>
          </a:extLst>
        </xdr:cNvPr>
        <xdr:cNvSpPr/>
      </xdr:nvSpPr>
      <xdr:spPr>
        <a:xfrm>
          <a:off x="2571750" y="3981450"/>
          <a:ext cx="532257" cy="298323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17</a:t>
          </a:r>
        </a:p>
      </xdr:txBody>
    </xdr:sp>
    <xdr:clientData/>
  </xdr:twoCellAnchor>
  <xdr:twoCellAnchor>
    <xdr:from>
      <xdr:col>6</xdr:col>
      <xdr:colOff>0</xdr:colOff>
      <xdr:row>17</xdr:row>
      <xdr:rowOff>76200</xdr:rowOff>
    </xdr:from>
    <xdr:to>
      <xdr:col>6</xdr:col>
      <xdr:colOff>532257</xdr:colOff>
      <xdr:row>18</xdr:row>
      <xdr:rowOff>69723</xdr:rowOff>
    </xdr:to>
    <xdr:sp macro="" textlink="">
      <xdr:nvSpPr>
        <xdr:cNvPr id="157" name="Rectangle 156">
          <a:extLst>
            <a:ext uri="{FF2B5EF4-FFF2-40B4-BE49-F238E27FC236}">
              <a16:creationId xmlns:a16="http://schemas.microsoft.com/office/drawing/2014/main" id="{3AACE4F7-779E-4B49-A2AC-A0784890A9DF}"/>
            </a:ext>
          </a:extLst>
        </xdr:cNvPr>
        <xdr:cNvSpPr/>
      </xdr:nvSpPr>
      <xdr:spPr>
        <a:xfrm>
          <a:off x="2571750" y="4476750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15</a:t>
          </a:r>
        </a:p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19</xdr:row>
      <xdr:rowOff>95250</xdr:rowOff>
    </xdr:from>
    <xdr:to>
      <xdr:col>6</xdr:col>
      <xdr:colOff>532257</xdr:colOff>
      <xdr:row>20</xdr:row>
      <xdr:rowOff>88773</xdr:rowOff>
    </xdr:to>
    <xdr:sp macro="" textlink="">
      <xdr:nvSpPr>
        <xdr:cNvPr id="158" name="Rectangle 157">
          <a:extLst>
            <a:ext uri="{FF2B5EF4-FFF2-40B4-BE49-F238E27FC236}">
              <a16:creationId xmlns:a16="http://schemas.microsoft.com/office/drawing/2014/main" id="{01F69C9A-2654-4688-AA49-234D1FC29198}"/>
            </a:ext>
          </a:extLst>
        </xdr:cNvPr>
        <xdr:cNvSpPr/>
      </xdr:nvSpPr>
      <xdr:spPr>
        <a:xfrm>
          <a:off x="2571750" y="4895850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13</a:t>
          </a:r>
        </a:p>
      </xdr:txBody>
    </xdr:sp>
    <xdr:clientData/>
  </xdr:twoCellAnchor>
  <xdr:twoCellAnchor>
    <xdr:from>
      <xdr:col>5</xdr:col>
      <xdr:colOff>847725</xdr:colOff>
      <xdr:row>21</xdr:row>
      <xdr:rowOff>76200</xdr:rowOff>
    </xdr:from>
    <xdr:to>
      <xdr:col>6</xdr:col>
      <xdr:colOff>522732</xdr:colOff>
      <xdr:row>22</xdr:row>
      <xdr:rowOff>79248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724A9645-2703-458E-A885-52DDC36D97B5}"/>
            </a:ext>
          </a:extLst>
        </xdr:cNvPr>
        <xdr:cNvSpPr/>
      </xdr:nvSpPr>
      <xdr:spPr>
        <a:xfrm>
          <a:off x="2562225" y="5276850"/>
          <a:ext cx="532257" cy="203073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11</a:t>
          </a:r>
        </a:p>
      </xdr:txBody>
    </xdr:sp>
    <xdr:clientData/>
  </xdr:twoCellAnchor>
  <xdr:twoCellAnchor>
    <xdr:from>
      <xdr:col>6</xdr:col>
      <xdr:colOff>0</xdr:colOff>
      <xdr:row>25</xdr:row>
      <xdr:rowOff>85725</xdr:rowOff>
    </xdr:from>
    <xdr:to>
      <xdr:col>6</xdr:col>
      <xdr:colOff>532257</xdr:colOff>
      <xdr:row>26</xdr:row>
      <xdr:rowOff>79248</xdr:rowOff>
    </xdr:to>
    <xdr:sp macro="" textlink="">
      <xdr:nvSpPr>
        <xdr:cNvPr id="160" name="Rectangle 159">
          <a:extLst>
            <a:ext uri="{FF2B5EF4-FFF2-40B4-BE49-F238E27FC236}">
              <a16:creationId xmlns:a16="http://schemas.microsoft.com/office/drawing/2014/main" id="{EE502F54-D1AB-4570-8570-D9B313AD26F0}"/>
            </a:ext>
          </a:extLst>
        </xdr:cNvPr>
        <xdr:cNvSpPr/>
      </xdr:nvSpPr>
      <xdr:spPr>
        <a:xfrm>
          <a:off x="2571750" y="6086475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7</a:t>
          </a:r>
        </a:p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23</xdr:row>
      <xdr:rowOff>85725</xdr:rowOff>
    </xdr:from>
    <xdr:to>
      <xdr:col>6</xdr:col>
      <xdr:colOff>532257</xdr:colOff>
      <xdr:row>24</xdr:row>
      <xdr:rowOff>79248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38D30243-770B-4EEA-A244-9B5FAA39DE52}"/>
            </a:ext>
          </a:extLst>
        </xdr:cNvPr>
        <xdr:cNvSpPr/>
      </xdr:nvSpPr>
      <xdr:spPr>
        <a:xfrm>
          <a:off x="2571750" y="5686425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9</a:t>
          </a:r>
        </a:p>
      </xdr:txBody>
    </xdr:sp>
    <xdr:clientData/>
  </xdr:twoCellAnchor>
  <xdr:twoCellAnchor>
    <xdr:from>
      <xdr:col>6</xdr:col>
      <xdr:colOff>0</xdr:colOff>
      <xdr:row>27</xdr:row>
      <xdr:rowOff>76200</xdr:rowOff>
    </xdr:from>
    <xdr:to>
      <xdr:col>6</xdr:col>
      <xdr:colOff>532257</xdr:colOff>
      <xdr:row>28</xdr:row>
      <xdr:rowOff>69723</xdr:rowOff>
    </xdr:to>
    <xdr:sp macro="" textlink="">
      <xdr:nvSpPr>
        <xdr:cNvPr id="162" name="Rectangle 161">
          <a:extLst>
            <a:ext uri="{FF2B5EF4-FFF2-40B4-BE49-F238E27FC236}">
              <a16:creationId xmlns:a16="http://schemas.microsoft.com/office/drawing/2014/main" id="{90C94CEC-F7EE-405B-9F5E-81BE6869D25C}"/>
            </a:ext>
          </a:extLst>
        </xdr:cNvPr>
        <xdr:cNvSpPr/>
      </xdr:nvSpPr>
      <xdr:spPr>
        <a:xfrm>
          <a:off x="2571750" y="6477000"/>
          <a:ext cx="532257" cy="193548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6</xdr:col>
      <xdr:colOff>542925</xdr:colOff>
      <xdr:row>30</xdr:row>
      <xdr:rowOff>0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5ACB04E4-CD68-4B43-A0E7-40FBD789C51A}"/>
            </a:ext>
          </a:extLst>
        </xdr:cNvPr>
        <xdr:cNvCxnSpPr/>
      </xdr:nvCxnSpPr>
      <xdr:spPr>
        <a:xfrm>
          <a:off x="1457325" y="7000875"/>
          <a:ext cx="1657350" cy="0"/>
        </a:xfrm>
        <a:prstGeom prst="line">
          <a:avLst/>
        </a:prstGeom>
        <a:ln w="79375" cmpd="tri">
          <a:solidFill>
            <a:schemeClr val="tx1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209550</xdr:colOff>
      <xdr:row>29</xdr:row>
      <xdr:rowOff>76199</xdr:rowOff>
    </xdr:from>
    <xdr:ext cx="260931" cy="216935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275F2C46-C30C-46C3-BA12-199C80482F3C}"/>
            </a:ext>
          </a:extLst>
        </xdr:cNvPr>
        <xdr:cNvSpPr txBox="1"/>
      </xdr:nvSpPr>
      <xdr:spPr>
        <a:xfrm>
          <a:off x="2781300" y="6877049"/>
          <a:ext cx="260931" cy="2169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126999</xdr:colOff>
      <xdr:row>7</xdr:row>
      <xdr:rowOff>19050</xdr:rowOff>
    </xdr:from>
    <xdr:to>
      <xdr:col>18</xdr:col>
      <xdr:colOff>430211</xdr:colOff>
      <xdr:row>12</xdr:row>
      <xdr:rowOff>66675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5A0412E-19EF-4BD3-BC42-53F017EFF90E}"/>
            </a:ext>
          </a:extLst>
        </xdr:cNvPr>
        <xdr:cNvSpPr/>
      </xdr:nvSpPr>
      <xdr:spPr>
        <a:xfrm>
          <a:off x="8013699" y="2362200"/>
          <a:ext cx="912812" cy="1000125"/>
        </a:xfrm>
        <a:prstGeom prst="rect">
          <a:avLst/>
        </a:prstGeom>
        <a:solidFill>
          <a:srgbClr val="FFD966">
            <a:alpha val="92941"/>
          </a:srgbClr>
        </a:solidFill>
        <a:ln>
          <a:solidFill>
            <a:srgbClr val="FFC000"/>
          </a:solidFill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174626</xdr:colOff>
      <xdr:row>7</xdr:row>
      <xdr:rowOff>26987</xdr:rowOff>
    </xdr:from>
    <xdr:to>
      <xdr:col>18</xdr:col>
      <xdr:colOff>477838</xdr:colOff>
      <xdr:row>7</xdr:row>
      <xdr:rowOff>138112</xdr:rowOff>
    </xdr:to>
    <xdr:sp macro="" textlink="">
      <xdr:nvSpPr>
        <xdr:cNvPr id="166" name="Frame 165">
          <a:extLst>
            <a:ext uri="{FF2B5EF4-FFF2-40B4-BE49-F238E27FC236}">
              <a16:creationId xmlns:a16="http://schemas.microsoft.com/office/drawing/2014/main" id="{389B9F12-8DEB-4453-8330-88387D2A53F4}"/>
            </a:ext>
          </a:extLst>
        </xdr:cNvPr>
        <xdr:cNvSpPr/>
      </xdr:nvSpPr>
      <xdr:spPr>
        <a:xfrm flipV="1">
          <a:off x="8061326" y="2370137"/>
          <a:ext cx="912812" cy="111125"/>
        </a:xfrm>
        <a:prstGeom prst="frame">
          <a:avLst/>
        </a:prstGeom>
        <a:solidFill>
          <a:schemeClr val="accent4"/>
        </a:solidFill>
        <a:ln>
          <a:solidFill>
            <a:srgbClr val="FFC000"/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174625</xdr:colOff>
      <xdr:row>11</xdr:row>
      <xdr:rowOff>142875</xdr:rowOff>
    </xdr:from>
    <xdr:to>
      <xdr:col>18</xdr:col>
      <xdr:colOff>477837</xdr:colOff>
      <xdr:row>12</xdr:row>
      <xdr:rowOff>63500</xdr:rowOff>
    </xdr:to>
    <xdr:sp macro="" textlink="">
      <xdr:nvSpPr>
        <xdr:cNvPr id="167" name="Frame 166">
          <a:extLst>
            <a:ext uri="{FF2B5EF4-FFF2-40B4-BE49-F238E27FC236}">
              <a16:creationId xmlns:a16="http://schemas.microsoft.com/office/drawing/2014/main" id="{B5F64917-C204-47F7-AC51-9F626341BEAE}"/>
            </a:ext>
          </a:extLst>
        </xdr:cNvPr>
        <xdr:cNvSpPr/>
      </xdr:nvSpPr>
      <xdr:spPr>
        <a:xfrm flipV="1">
          <a:off x="8061325" y="3248025"/>
          <a:ext cx="912812" cy="111125"/>
        </a:xfrm>
        <a:prstGeom prst="frame">
          <a:avLst/>
        </a:prstGeom>
        <a:solidFill>
          <a:schemeClr val="accent4"/>
        </a:solidFill>
        <a:ln>
          <a:solidFill>
            <a:srgbClr val="FFC000"/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514349</xdr:colOff>
      <xdr:row>9</xdr:row>
      <xdr:rowOff>158690</xdr:rowOff>
    </xdr:from>
    <xdr:to>
      <xdr:col>17</xdr:col>
      <xdr:colOff>158751</xdr:colOff>
      <xdr:row>10</xdr:row>
      <xdr:rowOff>13909</xdr:rowOff>
    </xdr:to>
    <xdr:sp macro="" textlink="">
      <xdr:nvSpPr>
        <xdr:cNvPr id="168" name="Flowchart: Manual Operation 167">
          <a:extLst>
            <a:ext uri="{FF2B5EF4-FFF2-40B4-BE49-F238E27FC236}">
              <a16:creationId xmlns:a16="http://schemas.microsoft.com/office/drawing/2014/main" id="{99E4B0A6-4E29-4326-B68C-DAE94BE3B90F}"/>
            </a:ext>
          </a:extLst>
        </xdr:cNvPr>
        <xdr:cNvSpPr/>
      </xdr:nvSpPr>
      <xdr:spPr>
        <a:xfrm rot="5400000">
          <a:off x="7124065" y="2007174"/>
          <a:ext cx="45719" cy="1797052"/>
        </a:xfrm>
        <a:prstGeom prst="flowChartManualOperation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533400</xdr:colOff>
      <xdr:row>11</xdr:row>
      <xdr:rowOff>182566</xdr:rowOff>
    </xdr:from>
    <xdr:to>
      <xdr:col>17</xdr:col>
      <xdr:colOff>158687</xdr:colOff>
      <xdr:row>12</xdr:row>
      <xdr:rowOff>76203</xdr:rowOff>
    </xdr:to>
    <xdr:sp macro="" textlink="">
      <xdr:nvSpPr>
        <xdr:cNvPr id="169" name="Flowchart: Manual Operation 168">
          <a:extLst>
            <a:ext uri="{FF2B5EF4-FFF2-40B4-BE49-F238E27FC236}">
              <a16:creationId xmlns:a16="http://schemas.microsoft.com/office/drawing/2014/main" id="{0D78FBED-423B-4ADA-9DDE-7F832F73C812}"/>
            </a:ext>
          </a:extLst>
        </xdr:cNvPr>
        <xdr:cNvSpPr/>
      </xdr:nvSpPr>
      <xdr:spPr>
        <a:xfrm rot="5400000">
          <a:off x="7114350" y="2440816"/>
          <a:ext cx="84137" cy="1777937"/>
        </a:xfrm>
        <a:prstGeom prst="flowChartManualOperation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520702</xdr:colOff>
      <xdr:row>10</xdr:row>
      <xdr:rowOff>19050</xdr:rowOff>
    </xdr:from>
    <xdr:to>
      <xdr:col>20</xdr:col>
      <xdr:colOff>577854</xdr:colOff>
      <xdr:row>10</xdr:row>
      <xdr:rowOff>127000</xdr:rowOff>
    </xdr:to>
    <xdr:sp macro="" textlink="">
      <xdr:nvSpPr>
        <xdr:cNvPr id="170" name="Flowchart: Manual Operation 169">
          <a:extLst>
            <a:ext uri="{FF2B5EF4-FFF2-40B4-BE49-F238E27FC236}">
              <a16:creationId xmlns:a16="http://schemas.microsoft.com/office/drawing/2014/main" id="{78344218-BC73-4305-9A8C-55F3AEBF876A}"/>
            </a:ext>
          </a:extLst>
        </xdr:cNvPr>
        <xdr:cNvSpPr/>
      </xdr:nvSpPr>
      <xdr:spPr>
        <a:xfrm rot="16200000">
          <a:off x="9601203" y="2349499"/>
          <a:ext cx="107950" cy="1276352"/>
        </a:xfrm>
        <a:prstGeom prst="flowChartManualOperation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515939</xdr:colOff>
      <xdr:row>11</xdr:row>
      <xdr:rowOff>174626</xdr:rowOff>
    </xdr:from>
    <xdr:to>
      <xdr:col>21</xdr:col>
      <xdr:colOff>31753</xdr:colOff>
      <xdr:row>12</xdr:row>
      <xdr:rowOff>119126</xdr:rowOff>
    </xdr:to>
    <xdr:sp macro="" textlink="">
      <xdr:nvSpPr>
        <xdr:cNvPr id="171" name="Flowchart: Manual Operation 170">
          <a:extLst>
            <a:ext uri="{FF2B5EF4-FFF2-40B4-BE49-F238E27FC236}">
              <a16:creationId xmlns:a16="http://schemas.microsoft.com/office/drawing/2014/main" id="{27E7F3EB-D692-443E-98B5-136CAA80B69C}"/>
            </a:ext>
          </a:extLst>
        </xdr:cNvPr>
        <xdr:cNvSpPr/>
      </xdr:nvSpPr>
      <xdr:spPr>
        <a:xfrm rot="16200000">
          <a:off x="10179021" y="2112994"/>
          <a:ext cx="135000" cy="2468564"/>
        </a:xfrm>
        <a:prstGeom prst="flowChartManualOperation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39687</xdr:colOff>
      <xdr:row>10</xdr:row>
      <xdr:rowOff>55563</xdr:rowOff>
    </xdr:from>
    <xdr:to>
      <xdr:col>17</xdr:col>
      <xdr:colOff>134936</xdr:colOff>
      <xdr:row>11</xdr:row>
      <xdr:rowOff>150813</xdr:rowOff>
    </xdr:to>
    <xdr:sp macro="" textlink="">
      <xdr:nvSpPr>
        <xdr:cNvPr id="172" name="Rectangle 171">
          <a:extLst>
            <a:ext uri="{FF2B5EF4-FFF2-40B4-BE49-F238E27FC236}">
              <a16:creationId xmlns:a16="http://schemas.microsoft.com/office/drawing/2014/main" id="{5CAB00D0-00D6-44CA-BA6A-4DF7312617AB}"/>
            </a:ext>
          </a:extLst>
        </xdr:cNvPr>
        <xdr:cNvSpPr/>
      </xdr:nvSpPr>
      <xdr:spPr>
        <a:xfrm>
          <a:off x="7926387" y="2970213"/>
          <a:ext cx="95249" cy="285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542924</xdr:colOff>
      <xdr:row>10</xdr:row>
      <xdr:rowOff>55562</xdr:rowOff>
    </xdr:from>
    <xdr:to>
      <xdr:col>16</xdr:col>
      <xdr:colOff>638173</xdr:colOff>
      <xdr:row>11</xdr:row>
      <xdr:rowOff>150812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BC4BC33B-B8E7-4032-A8E8-8BD77F7203B9}"/>
            </a:ext>
          </a:extLst>
        </xdr:cNvPr>
        <xdr:cNvSpPr/>
      </xdr:nvSpPr>
      <xdr:spPr>
        <a:xfrm>
          <a:off x="6276974" y="2970212"/>
          <a:ext cx="95249" cy="28575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706437</xdr:colOff>
      <xdr:row>10</xdr:row>
      <xdr:rowOff>55562</xdr:rowOff>
    </xdr:from>
    <xdr:to>
      <xdr:col>16</xdr:col>
      <xdr:colOff>801686</xdr:colOff>
      <xdr:row>11</xdr:row>
      <xdr:rowOff>150812</xdr:rowOff>
    </xdr:to>
    <xdr:sp macro="" textlink="">
      <xdr:nvSpPr>
        <xdr:cNvPr id="174" name="Rectangle 173">
          <a:extLst>
            <a:ext uri="{FF2B5EF4-FFF2-40B4-BE49-F238E27FC236}">
              <a16:creationId xmlns:a16="http://schemas.microsoft.com/office/drawing/2014/main" id="{1AAE74E2-D5AE-4756-86EB-FDC52F12C612}"/>
            </a:ext>
          </a:extLst>
        </xdr:cNvPr>
        <xdr:cNvSpPr/>
      </xdr:nvSpPr>
      <xdr:spPr>
        <a:xfrm>
          <a:off x="6440487" y="2970212"/>
          <a:ext cx="95249" cy="28575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500062</xdr:colOff>
      <xdr:row>10</xdr:row>
      <xdr:rowOff>63500</xdr:rowOff>
    </xdr:from>
    <xdr:to>
      <xdr:col>18</xdr:col>
      <xdr:colOff>595311</xdr:colOff>
      <xdr:row>11</xdr:row>
      <xdr:rowOff>158750</xdr:rowOff>
    </xdr:to>
    <xdr:sp macro="" textlink="">
      <xdr:nvSpPr>
        <xdr:cNvPr id="175" name="Rectangle 174">
          <a:extLst>
            <a:ext uri="{FF2B5EF4-FFF2-40B4-BE49-F238E27FC236}">
              <a16:creationId xmlns:a16="http://schemas.microsoft.com/office/drawing/2014/main" id="{5B028215-F994-4239-9AFA-EBCEFAD458EA}"/>
            </a:ext>
          </a:extLst>
        </xdr:cNvPr>
        <xdr:cNvSpPr/>
      </xdr:nvSpPr>
      <xdr:spPr>
        <a:xfrm>
          <a:off x="8996362" y="2978150"/>
          <a:ext cx="95249" cy="285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342900</xdr:colOff>
      <xdr:row>10</xdr:row>
      <xdr:rowOff>95250</xdr:rowOff>
    </xdr:from>
    <xdr:to>
      <xdr:col>20</xdr:col>
      <xdr:colOff>444499</xdr:colOff>
      <xdr:row>12</xdr:row>
      <xdr:rowOff>0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35804A1E-901C-4828-9DA4-9438035682A6}"/>
            </a:ext>
          </a:extLst>
        </xdr:cNvPr>
        <xdr:cNvSpPr/>
      </xdr:nvSpPr>
      <xdr:spPr>
        <a:xfrm>
          <a:off x="10058400" y="3009900"/>
          <a:ext cx="101599" cy="28575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544513</xdr:colOff>
      <xdr:row>10</xdr:row>
      <xdr:rowOff>95250</xdr:rowOff>
    </xdr:from>
    <xdr:to>
      <xdr:col>21</xdr:col>
      <xdr:colOff>36512</xdr:colOff>
      <xdr:row>12</xdr:row>
      <xdr:rowOff>0</xdr:rowOff>
    </xdr:to>
    <xdr:sp macro="" textlink="">
      <xdr:nvSpPr>
        <xdr:cNvPr id="177" name="Rectangle 176">
          <a:extLst>
            <a:ext uri="{FF2B5EF4-FFF2-40B4-BE49-F238E27FC236}">
              <a16:creationId xmlns:a16="http://schemas.microsoft.com/office/drawing/2014/main" id="{71BAA420-F638-4196-A827-7E05D24151BA}"/>
            </a:ext>
          </a:extLst>
        </xdr:cNvPr>
        <xdr:cNvSpPr/>
      </xdr:nvSpPr>
      <xdr:spPr>
        <a:xfrm>
          <a:off x="10260013" y="3009900"/>
          <a:ext cx="1225549" cy="28575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551656</xdr:colOff>
      <xdr:row>44</xdr:row>
      <xdr:rowOff>107156</xdr:rowOff>
    </xdr:from>
    <xdr:to>
      <xdr:col>15</xdr:col>
      <xdr:colOff>2368550</xdr:colOff>
      <xdr:row>44</xdr:row>
      <xdr:rowOff>111125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id="{EEF431AD-337B-41BE-8C0D-4A11E9481525}"/>
            </a:ext>
          </a:extLst>
        </xdr:cNvPr>
        <xdr:cNvCxnSpPr/>
      </xdr:nvCxnSpPr>
      <xdr:spPr>
        <a:xfrm flipH="1" flipV="1">
          <a:off x="789781" y="10146506"/>
          <a:ext cx="4941094" cy="3969"/>
        </a:xfrm>
        <a:prstGeom prst="line">
          <a:avLst/>
        </a:prstGeom>
        <a:ln w="825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135658</xdr:colOff>
      <xdr:row>41</xdr:row>
      <xdr:rowOff>174989</xdr:rowOff>
    </xdr:from>
    <xdr:to>
      <xdr:col>16</xdr:col>
      <xdr:colOff>373783</xdr:colOff>
      <xdr:row>43</xdr:row>
      <xdr:rowOff>294054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600197F2-9000-4E3A-BD89-F608D26BF7EA}"/>
            </a:ext>
          </a:extLst>
        </xdr:cNvPr>
        <xdr:cNvSpPr/>
      </xdr:nvSpPr>
      <xdr:spPr>
        <a:xfrm rot="5400000">
          <a:off x="5743501" y="9673796"/>
          <a:ext cx="490540" cy="238125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46</a:t>
          </a:r>
        </a:p>
      </xdr:txBody>
    </xdr:sp>
    <xdr:clientData/>
  </xdr:twoCellAnchor>
  <xdr:twoCellAnchor>
    <xdr:from>
      <xdr:col>12</xdr:col>
      <xdr:colOff>190500</xdr:colOff>
      <xdr:row>43</xdr:row>
      <xdr:rowOff>130969</xdr:rowOff>
    </xdr:from>
    <xdr:to>
      <xdr:col>13</xdr:col>
      <xdr:colOff>100679</xdr:colOff>
      <xdr:row>44</xdr:row>
      <xdr:rowOff>32195</xdr:rowOff>
    </xdr:to>
    <xdr:sp macro="" textlink="">
      <xdr:nvSpPr>
        <xdr:cNvPr id="180" name="Rectangle 179">
          <a:extLst>
            <a:ext uri="{FF2B5EF4-FFF2-40B4-BE49-F238E27FC236}">
              <a16:creationId xmlns:a16="http://schemas.microsoft.com/office/drawing/2014/main" id="{7E13FA86-089E-4FE3-93AE-E8413282088E}"/>
            </a:ext>
          </a:extLst>
        </xdr:cNvPr>
        <xdr:cNvSpPr/>
      </xdr:nvSpPr>
      <xdr:spPr>
        <a:xfrm rot="5400000">
          <a:off x="4040362" y="10025682"/>
          <a:ext cx="91726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48</a:t>
          </a:r>
        </a:p>
      </xdr:txBody>
    </xdr:sp>
    <xdr:clientData/>
  </xdr:twoCellAnchor>
  <xdr:twoCellAnchor>
    <xdr:from>
      <xdr:col>12</xdr:col>
      <xdr:colOff>190500</xdr:colOff>
      <xdr:row>45</xdr:row>
      <xdr:rowOff>47626</xdr:rowOff>
    </xdr:from>
    <xdr:to>
      <xdr:col>13</xdr:col>
      <xdr:colOff>100680</xdr:colOff>
      <xdr:row>47</xdr:row>
      <xdr:rowOff>166691</xdr:rowOff>
    </xdr:to>
    <xdr:sp macro="" textlink="">
      <xdr:nvSpPr>
        <xdr:cNvPr id="181" name="Rectangle 180">
          <a:extLst>
            <a:ext uri="{FF2B5EF4-FFF2-40B4-BE49-F238E27FC236}">
              <a16:creationId xmlns:a16="http://schemas.microsoft.com/office/drawing/2014/main" id="{2853C484-70C9-491C-90B3-65297CD7050D}"/>
            </a:ext>
          </a:extLst>
        </xdr:cNvPr>
        <xdr:cNvSpPr/>
      </xdr:nvSpPr>
      <xdr:spPr>
        <a:xfrm rot="5400000">
          <a:off x="3836192" y="10527509"/>
          <a:ext cx="500065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47</a:t>
          </a:r>
        </a:p>
        <a:p>
          <a:pPr algn="l"/>
          <a:endParaRPr lang="en-US" sz="1100"/>
        </a:p>
      </xdr:txBody>
    </xdr:sp>
    <xdr:clientData/>
  </xdr:twoCellAnchor>
  <xdr:twoCellAnchor>
    <xdr:from>
      <xdr:col>7</xdr:col>
      <xdr:colOff>38498</xdr:colOff>
      <xdr:row>43</xdr:row>
      <xdr:rowOff>95249</xdr:rowOff>
    </xdr:from>
    <xdr:to>
      <xdr:col>7</xdr:col>
      <xdr:colOff>404816</xdr:colOff>
      <xdr:row>47</xdr:row>
      <xdr:rowOff>107156</xdr:rowOff>
    </xdr:to>
    <xdr:sp macro="" textlink="">
      <xdr:nvSpPr>
        <xdr:cNvPr id="182" name="Rectangle 181">
          <a:extLst>
            <a:ext uri="{FF2B5EF4-FFF2-40B4-BE49-F238E27FC236}">
              <a16:creationId xmlns:a16="http://schemas.microsoft.com/office/drawing/2014/main" id="{1BEB0D2D-F943-4234-9F1C-CECB57FBB5D6}"/>
            </a:ext>
          </a:extLst>
        </xdr:cNvPr>
        <xdr:cNvSpPr/>
      </xdr:nvSpPr>
      <xdr:spPr>
        <a:xfrm rot="16200000">
          <a:off x="3016053" y="10147894"/>
          <a:ext cx="773907" cy="366318"/>
        </a:xfrm>
        <a:prstGeom prst="rect">
          <a:avLst/>
        </a:prstGeom>
        <a:solidFill>
          <a:schemeClr val="bg2">
            <a:lumMod val="75000"/>
            <a:alpha val="93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380999</xdr:colOff>
      <xdr:row>43</xdr:row>
      <xdr:rowOff>112314</xdr:rowOff>
    </xdr:from>
    <xdr:to>
      <xdr:col>7</xdr:col>
      <xdr:colOff>463152</xdr:colOff>
      <xdr:row>47</xdr:row>
      <xdr:rowOff>130968</xdr:rowOff>
    </xdr:to>
    <xdr:sp macro="" textlink="">
      <xdr:nvSpPr>
        <xdr:cNvPr id="183" name="Frame 182">
          <a:extLst>
            <a:ext uri="{FF2B5EF4-FFF2-40B4-BE49-F238E27FC236}">
              <a16:creationId xmlns:a16="http://schemas.microsoft.com/office/drawing/2014/main" id="{EB325247-2BB3-4A7F-A6B3-7D73BA43C4BA}"/>
            </a:ext>
          </a:extLst>
        </xdr:cNvPr>
        <xdr:cNvSpPr/>
      </xdr:nvSpPr>
      <xdr:spPr>
        <a:xfrm rot="16200000" flipV="1">
          <a:off x="3213099" y="10310414"/>
          <a:ext cx="780654" cy="82153"/>
        </a:xfrm>
        <a:prstGeom prst="frame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583406</xdr:colOff>
      <xdr:row>43</xdr:row>
      <xdr:rowOff>95249</xdr:rowOff>
    </xdr:from>
    <xdr:to>
      <xdr:col>7</xdr:col>
      <xdr:colOff>58341</xdr:colOff>
      <xdr:row>47</xdr:row>
      <xdr:rowOff>113903</xdr:rowOff>
    </xdr:to>
    <xdr:sp macro="" textlink="">
      <xdr:nvSpPr>
        <xdr:cNvPr id="184" name="Frame 183">
          <a:extLst>
            <a:ext uri="{FF2B5EF4-FFF2-40B4-BE49-F238E27FC236}">
              <a16:creationId xmlns:a16="http://schemas.microsoft.com/office/drawing/2014/main" id="{FEE209C4-AB83-4517-8008-9E6A4BC4AC8E}"/>
            </a:ext>
          </a:extLst>
        </xdr:cNvPr>
        <xdr:cNvSpPr/>
      </xdr:nvSpPr>
      <xdr:spPr>
        <a:xfrm rot="16200000" flipV="1">
          <a:off x="2807097" y="10292158"/>
          <a:ext cx="780654" cy="84535"/>
        </a:xfrm>
        <a:prstGeom prst="frame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59533</xdr:colOff>
      <xdr:row>43</xdr:row>
      <xdr:rowOff>0</xdr:rowOff>
    </xdr:from>
    <xdr:to>
      <xdr:col>7</xdr:col>
      <xdr:colOff>345283</xdr:colOff>
      <xdr:row>43</xdr:row>
      <xdr:rowOff>59529</xdr:rowOff>
    </xdr:to>
    <xdr:sp macro="" textlink="">
      <xdr:nvSpPr>
        <xdr:cNvPr id="185" name="Rectangle 184">
          <a:extLst>
            <a:ext uri="{FF2B5EF4-FFF2-40B4-BE49-F238E27FC236}">
              <a16:creationId xmlns:a16="http://schemas.microsoft.com/office/drawing/2014/main" id="{239536AC-06E9-44F7-BA8C-A00B86E43CDD}"/>
            </a:ext>
          </a:extLst>
        </xdr:cNvPr>
        <xdr:cNvSpPr/>
      </xdr:nvSpPr>
      <xdr:spPr>
        <a:xfrm rot="16200000">
          <a:off x="3353993" y="9735740"/>
          <a:ext cx="59529" cy="285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86124</xdr:colOff>
      <xdr:row>47</xdr:row>
      <xdr:rowOff>154780</xdr:rowOff>
    </xdr:from>
    <xdr:to>
      <xdr:col>7</xdr:col>
      <xdr:colOff>371874</xdr:colOff>
      <xdr:row>48</xdr:row>
      <xdr:rowOff>23810</xdr:rowOff>
    </xdr:to>
    <xdr:sp macro="" textlink="">
      <xdr:nvSpPr>
        <xdr:cNvPr id="186" name="Rectangle 185">
          <a:extLst>
            <a:ext uri="{FF2B5EF4-FFF2-40B4-BE49-F238E27FC236}">
              <a16:creationId xmlns:a16="http://schemas.microsoft.com/office/drawing/2014/main" id="{119E5D93-7601-42A3-896D-D3832611D621}"/>
            </a:ext>
          </a:extLst>
        </xdr:cNvPr>
        <xdr:cNvSpPr/>
      </xdr:nvSpPr>
      <xdr:spPr>
        <a:xfrm rot="16200000">
          <a:off x="3380584" y="10652520"/>
          <a:ext cx="59530" cy="285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83345</xdr:colOff>
      <xdr:row>48</xdr:row>
      <xdr:rowOff>83344</xdr:rowOff>
    </xdr:from>
    <xdr:to>
      <xdr:col>7</xdr:col>
      <xdr:colOff>369095</xdr:colOff>
      <xdr:row>48</xdr:row>
      <xdr:rowOff>178593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461F240-80D4-4F15-8952-43149BB65A98}"/>
            </a:ext>
          </a:extLst>
        </xdr:cNvPr>
        <xdr:cNvSpPr/>
      </xdr:nvSpPr>
      <xdr:spPr>
        <a:xfrm rot="16200000">
          <a:off x="3359945" y="10789444"/>
          <a:ext cx="95249" cy="28575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83345</xdr:colOff>
      <xdr:row>48</xdr:row>
      <xdr:rowOff>226219</xdr:rowOff>
    </xdr:from>
    <xdr:to>
      <xdr:col>7</xdr:col>
      <xdr:colOff>369095</xdr:colOff>
      <xdr:row>48</xdr:row>
      <xdr:rowOff>321468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5A6D854B-8B6F-46AC-A0B6-0C22E9D1583F}"/>
            </a:ext>
          </a:extLst>
        </xdr:cNvPr>
        <xdr:cNvSpPr/>
      </xdr:nvSpPr>
      <xdr:spPr>
        <a:xfrm rot="16200000">
          <a:off x="3407569" y="10846595"/>
          <a:ext cx="1" cy="285748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402765</xdr:colOff>
      <xdr:row>43</xdr:row>
      <xdr:rowOff>0</xdr:rowOff>
    </xdr:from>
    <xdr:to>
      <xdr:col>7</xdr:col>
      <xdr:colOff>466328</xdr:colOff>
      <xdr:row>43</xdr:row>
      <xdr:rowOff>85329</xdr:rowOff>
    </xdr:to>
    <xdr:sp macro="" textlink="">
      <xdr:nvSpPr>
        <xdr:cNvPr id="189" name="Flowchart: Manual Operation 188">
          <a:extLst>
            <a:ext uri="{FF2B5EF4-FFF2-40B4-BE49-F238E27FC236}">
              <a16:creationId xmlns:a16="http://schemas.microsoft.com/office/drawing/2014/main" id="{9FA46049-84ED-4EC7-AFC0-499D930E63DB}"/>
            </a:ext>
          </a:extLst>
        </xdr:cNvPr>
        <xdr:cNvSpPr/>
      </xdr:nvSpPr>
      <xdr:spPr>
        <a:xfrm rot="10800000">
          <a:off x="3584115" y="9848850"/>
          <a:ext cx="63563" cy="85329"/>
        </a:xfrm>
        <a:prstGeom prst="flowChartManualOperation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571500</xdr:colOff>
      <xdr:row>43</xdr:row>
      <xdr:rowOff>0</xdr:rowOff>
    </xdr:from>
    <xdr:to>
      <xdr:col>7</xdr:col>
      <xdr:colOff>27845</xdr:colOff>
      <xdr:row>43</xdr:row>
      <xdr:rowOff>95187</xdr:rowOff>
    </xdr:to>
    <xdr:sp macro="" textlink="">
      <xdr:nvSpPr>
        <xdr:cNvPr id="190" name="Flowchart: Manual Operation 189">
          <a:extLst>
            <a:ext uri="{FF2B5EF4-FFF2-40B4-BE49-F238E27FC236}">
              <a16:creationId xmlns:a16="http://schemas.microsoft.com/office/drawing/2014/main" id="{B5BBF339-1292-438A-B49E-85DCD5FA0238}"/>
            </a:ext>
          </a:extLst>
        </xdr:cNvPr>
        <xdr:cNvSpPr/>
      </xdr:nvSpPr>
      <xdr:spPr>
        <a:xfrm rot="10800000">
          <a:off x="3143250" y="9848850"/>
          <a:ext cx="65945" cy="95187"/>
        </a:xfrm>
        <a:prstGeom prst="flowChartManualOperation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595313</xdr:colOff>
      <xdr:row>47</xdr:row>
      <xdr:rowOff>130968</xdr:rowOff>
    </xdr:from>
    <xdr:to>
      <xdr:col>7</xdr:col>
      <xdr:colOff>51658</xdr:colOff>
      <xdr:row>48</xdr:row>
      <xdr:rowOff>321405</xdr:rowOff>
    </xdr:to>
    <xdr:sp macro="" textlink="">
      <xdr:nvSpPr>
        <xdr:cNvPr id="191" name="Flowchart: Manual Operation 190">
          <a:extLst>
            <a:ext uri="{FF2B5EF4-FFF2-40B4-BE49-F238E27FC236}">
              <a16:creationId xmlns:a16="http://schemas.microsoft.com/office/drawing/2014/main" id="{ECCACDAF-16F5-4995-BC2E-98D3BA704034}"/>
            </a:ext>
          </a:extLst>
        </xdr:cNvPr>
        <xdr:cNvSpPr/>
      </xdr:nvSpPr>
      <xdr:spPr>
        <a:xfrm>
          <a:off x="3167063" y="10741818"/>
          <a:ext cx="65945" cy="247587"/>
        </a:xfrm>
        <a:prstGeom prst="flowChartManualOperation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404812</xdr:colOff>
      <xdr:row>47</xdr:row>
      <xdr:rowOff>142875</xdr:rowOff>
    </xdr:from>
    <xdr:to>
      <xdr:col>7</xdr:col>
      <xdr:colOff>468375</xdr:colOff>
      <xdr:row>48</xdr:row>
      <xdr:rowOff>333312</xdr:rowOff>
    </xdr:to>
    <xdr:sp macro="" textlink="">
      <xdr:nvSpPr>
        <xdr:cNvPr id="192" name="Flowchart: Manual Operation 191">
          <a:extLst>
            <a:ext uri="{FF2B5EF4-FFF2-40B4-BE49-F238E27FC236}">
              <a16:creationId xmlns:a16="http://schemas.microsoft.com/office/drawing/2014/main" id="{67B61F3F-14C9-43DD-BB35-3E9933777930}"/>
            </a:ext>
          </a:extLst>
        </xdr:cNvPr>
        <xdr:cNvSpPr/>
      </xdr:nvSpPr>
      <xdr:spPr>
        <a:xfrm>
          <a:off x="3586162" y="10753725"/>
          <a:ext cx="63563" cy="238062"/>
        </a:xfrm>
        <a:prstGeom prst="flowChartManualOperation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520253</xdr:colOff>
      <xdr:row>43</xdr:row>
      <xdr:rowOff>28579</xdr:rowOff>
    </xdr:from>
    <xdr:to>
      <xdr:col>5</xdr:col>
      <xdr:colOff>142875</xdr:colOff>
      <xdr:row>44</xdr:row>
      <xdr:rowOff>34580</xdr:rowOff>
    </xdr:to>
    <xdr:sp macro="" textlink="">
      <xdr:nvSpPr>
        <xdr:cNvPr id="193" name="Rectangle 192">
          <a:extLst>
            <a:ext uri="{FF2B5EF4-FFF2-40B4-BE49-F238E27FC236}">
              <a16:creationId xmlns:a16="http://schemas.microsoft.com/office/drawing/2014/main" id="{DC3EB941-9423-4540-B455-1CD7F7155D68}"/>
            </a:ext>
          </a:extLst>
        </xdr:cNvPr>
        <xdr:cNvSpPr/>
      </xdr:nvSpPr>
      <xdr:spPr>
        <a:xfrm rot="5400000">
          <a:off x="1685876" y="9902431"/>
          <a:ext cx="196501" cy="146497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t"/>
        <a:lstStyle/>
        <a:p>
          <a:pPr algn="l"/>
          <a:r>
            <a:rPr lang="en-US" sz="1100"/>
            <a:t>Rework</a:t>
          </a:r>
        </a:p>
      </xdr:txBody>
    </xdr:sp>
    <xdr:clientData/>
  </xdr:twoCellAnchor>
  <xdr:twoCellAnchor>
    <xdr:from>
      <xdr:col>4</xdr:col>
      <xdr:colOff>523875</xdr:colOff>
      <xdr:row>45</xdr:row>
      <xdr:rowOff>66677</xdr:rowOff>
    </xdr:from>
    <xdr:to>
      <xdr:col>5</xdr:col>
      <xdr:colOff>142875</xdr:colOff>
      <xdr:row>48</xdr:row>
      <xdr:rowOff>28578</xdr:rowOff>
    </xdr:to>
    <xdr:sp macro="" textlink="">
      <xdr:nvSpPr>
        <xdr:cNvPr id="194" name="Rectangle 193">
          <a:extLst>
            <a:ext uri="{FF2B5EF4-FFF2-40B4-BE49-F238E27FC236}">
              <a16:creationId xmlns:a16="http://schemas.microsoft.com/office/drawing/2014/main" id="{F594B7C5-6938-4EAB-8A4F-67E6D16B7FA2}"/>
            </a:ext>
          </a:extLst>
        </xdr:cNvPr>
        <xdr:cNvSpPr/>
      </xdr:nvSpPr>
      <xdr:spPr>
        <a:xfrm rot="5400000">
          <a:off x="1519237" y="10491790"/>
          <a:ext cx="533401" cy="1428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t"/>
        <a:lstStyle/>
        <a:p>
          <a:pPr algn="l"/>
          <a:r>
            <a:rPr lang="en-US" sz="1100"/>
            <a:t>Rework</a:t>
          </a:r>
        </a:p>
      </xdr:txBody>
    </xdr:sp>
    <xdr:clientData/>
  </xdr:twoCellAnchor>
  <xdr:twoCellAnchor>
    <xdr:from>
      <xdr:col>10</xdr:col>
      <xdr:colOff>161925</xdr:colOff>
      <xdr:row>43</xdr:row>
      <xdr:rowOff>76199</xdr:rowOff>
    </xdr:from>
    <xdr:to>
      <xdr:col>11</xdr:col>
      <xdr:colOff>95250</xdr:colOff>
      <xdr:row>44</xdr:row>
      <xdr:rowOff>34581</xdr:rowOff>
    </xdr:to>
    <xdr:sp macro="" textlink="">
      <xdr:nvSpPr>
        <xdr:cNvPr id="195" name="Rectangle 194">
          <a:extLst>
            <a:ext uri="{FF2B5EF4-FFF2-40B4-BE49-F238E27FC236}">
              <a16:creationId xmlns:a16="http://schemas.microsoft.com/office/drawing/2014/main" id="{FEE49D1B-F4B3-453C-B4F1-57BF8E4CB080}"/>
            </a:ext>
          </a:extLst>
        </xdr:cNvPr>
        <xdr:cNvSpPr/>
      </xdr:nvSpPr>
      <xdr:spPr>
        <a:xfrm rot="5400000">
          <a:off x="4011784" y="9999490"/>
          <a:ext cx="148882" cy="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t"/>
        <a:lstStyle/>
        <a:p>
          <a:pPr algn="l"/>
          <a:r>
            <a:rPr lang="en-US" sz="1100"/>
            <a:t>Rework</a:t>
          </a:r>
        </a:p>
      </xdr:txBody>
    </xdr:sp>
    <xdr:clientData/>
  </xdr:twoCellAnchor>
  <xdr:twoCellAnchor>
    <xdr:from>
      <xdr:col>10</xdr:col>
      <xdr:colOff>161925</xdr:colOff>
      <xdr:row>45</xdr:row>
      <xdr:rowOff>57150</xdr:rowOff>
    </xdr:from>
    <xdr:to>
      <xdr:col>11</xdr:col>
      <xdr:colOff>95250</xdr:colOff>
      <xdr:row>47</xdr:row>
      <xdr:rowOff>171450</xdr:rowOff>
    </xdr:to>
    <xdr:sp macro="" textlink="">
      <xdr:nvSpPr>
        <xdr:cNvPr id="196" name="Rectangle 195">
          <a:extLst>
            <a:ext uri="{FF2B5EF4-FFF2-40B4-BE49-F238E27FC236}">
              <a16:creationId xmlns:a16="http://schemas.microsoft.com/office/drawing/2014/main" id="{29D71C86-FB61-4ECE-809B-D66065D5464B}"/>
            </a:ext>
          </a:extLst>
        </xdr:cNvPr>
        <xdr:cNvSpPr/>
      </xdr:nvSpPr>
      <xdr:spPr>
        <a:xfrm rot="5400000">
          <a:off x="3838575" y="10534650"/>
          <a:ext cx="495300" cy="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t"/>
        <a:lstStyle/>
        <a:p>
          <a:pPr algn="l"/>
          <a:r>
            <a:rPr lang="en-US" sz="1100"/>
            <a:t>Rework</a:t>
          </a:r>
        </a:p>
      </xdr:txBody>
    </xdr:sp>
    <xdr:clientData/>
  </xdr:twoCellAnchor>
  <xdr:twoCellAnchor>
    <xdr:from>
      <xdr:col>5</xdr:col>
      <xdr:colOff>838200</xdr:colOff>
      <xdr:row>33</xdr:row>
      <xdr:rowOff>104775</xdr:rowOff>
    </xdr:from>
    <xdr:to>
      <xdr:col>7</xdr:col>
      <xdr:colOff>285750</xdr:colOff>
      <xdr:row>36</xdr:row>
      <xdr:rowOff>123825</xdr:rowOff>
    </xdr:to>
    <xdr:sp macro="" textlink="">
      <xdr:nvSpPr>
        <xdr:cNvPr id="197" name="Rectangle 196">
          <a:extLst>
            <a:ext uri="{FF2B5EF4-FFF2-40B4-BE49-F238E27FC236}">
              <a16:creationId xmlns:a16="http://schemas.microsoft.com/office/drawing/2014/main" id="{3473CD76-3866-4A5E-9867-C12E6140BFFB}"/>
            </a:ext>
          </a:extLst>
        </xdr:cNvPr>
        <xdr:cNvSpPr/>
      </xdr:nvSpPr>
      <xdr:spPr>
        <a:xfrm>
          <a:off x="2552700" y="7753350"/>
          <a:ext cx="914400" cy="619125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182880" rIns="91440" rtlCol="0" anchor="t"/>
        <a:lstStyle/>
        <a:p>
          <a:pPr algn="l"/>
          <a:r>
            <a:rPr lang="en-US" sz="1100"/>
            <a:t>BULS </a:t>
          </a:r>
        </a:p>
        <a:p>
          <a:pPr algn="l"/>
          <a:r>
            <a:rPr lang="en-US" sz="1100"/>
            <a:t>DESK</a:t>
          </a:r>
        </a:p>
      </xdr:txBody>
    </xdr:sp>
    <xdr:clientData/>
  </xdr:twoCellAnchor>
  <xdr:twoCellAnchor>
    <xdr:from>
      <xdr:col>5</xdr:col>
      <xdr:colOff>847726</xdr:colOff>
      <xdr:row>32</xdr:row>
      <xdr:rowOff>180975</xdr:rowOff>
    </xdr:from>
    <xdr:to>
      <xdr:col>6</xdr:col>
      <xdr:colOff>238126</xdr:colOff>
      <xdr:row>33</xdr:row>
      <xdr:rowOff>76200</xdr:rowOff>
    </xdr:to>
    <xdr:sp macro="" textlink="">
      <xdr:nvSpPr>
        <xdr:cNvPr id="198" name="Rectangle 197">
          <a:extLst>
            <a:ext uri="{FF2B5EF4-FFF2-40B4-BE49-F238E27FC236}">
              <a16:creationId xmlns:a16="http://schemas.microsoft.com/office/drawing/2014/main" id="{8F87D373-117A-41C6-8715-F89BA4E93017}"/>
            </a:ext>
          </a:extLst>
        </xdr:cNvPr>
        <xdr:cNvSpPr/>
      </xdr:nvSpPr>
      <xdr:spPr>
        <a:xfrm>
          <a:off x="2562226" y="7629525"/>
          <a:ext cx="247650" cy="9525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847725</xdr:colOff>
      <xdr:row>32</xdr:row>
      <xdr:rowOff>28575</xdr:rowOff>
    </xdr:from>
    <xdr:to>
      <xdr:col>6</xdr:col>
      <xdr:colOff>238125</xdr:colOff>
      <xdr:row>32</xdr:row>
      <xdr:rowOff>142875</xdr:rowOff>
    </xdr:to>
    <xdr:sp macro="" textlink="">
      <xdr:nvSpPr>
        <xdr:cNvPr id="199" name="Rectangle 198">
          <a:extLst>
            <a:ext uri="{FF2B5EF4-FFF2-40B4-BE49-F238E27FC236}">
              <a16:creationId xmlns:a16="http://schemas.microsoft.com/office/drawing/2014/main" id="{4AE58C03-C9EC-4D74-93A3-2949892F6A6E}"/>
            </a:ext>
          </a:extLst>
        </xdr:cNvPr>
        <xdr:cNvSpPr/>
      </xdr:nvSpPr>
      <xdr:spPr>
        <a:xfrm>
          <a:off x="2562225" y="7477125"/>
          <a:ext cx="247650" cy="11430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847725</xdr:colOff>
      <xdr:row>31</xdr:row>
      <xdr:rowOff>104775</xdr:rowOff>
    </xdr:from>
    <xdr:to>
      <xdr:col>6</xdr:col>
      <xdr:colOff>238125</xdr:colOff>
      <xdr:row>32</xdr:row>
      <xdr:rowOff>0</xdr:rowOff>
    </xdr:to>
    <xdr:sp macro="" textlink="">
      <xdr:nvSpPr>
        <xdr:cNvPr id="200" name="Rectangle 199">
          <a:extLst>
            <a:ext uri="{FF2B5EF4-FFF2-40B4-BE49-F238E27FC236}">
              <a16:creationId xmlns:a16="http://schemas.microsoft.com/office/drawing/2014/main" id="{263453C9-3598-48C4-B3A8-D7FC5C5533EC}"/>
            </a:ext>
          </a:extLst>
        </xdr:cNvPr>
        <xdr:cNvSpPr/>
      </xdr:nvSpPr>
      <xdr:spPr>
        <a:xfrm>
          <a:off x="2562225" y="7305675"/>
          <a:ext cx="247650" cy="142875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333375</xdr:colOff>
      <xdr:row>33</xdr:row>
      <xdr:rowOff>180975</xdr:rowOff>
    </xdr:from>
    <xdr:to>
      <xdr:col>7</xdr:col>
      <xdr:colOff>447675</xdr:colOff>
      <xdr:row>34</xdr:row>
      <xdr:rowOff>209550</xdr:rowOff>
    </xdr:to>
    <xdr:sp macro="" textlink="">
      <xdr:nvSpPr>
        <xdr:cNvPr id="201" name="Rectangle 200">
          <a:extLst>
            <a:ext uri="{FF2B5EF4-FFF2-40B4-BE49-F238E27FC236}">
              <a16:creationId xmlns:a16="http://schemas.microsoft.com/office/drawing/2014/main" id="{2324CC60-C81C-40FA-9A48-CAA096F6A8BF}"/>
            </a:ext>
          </a:extLst>
        </xdr:cNvPr>
        <xdr:cNvSpPr/>
      </xdr:nvSpPr>
      <xdr:spPr>
        <a:xfrm rot="5400000">
          <a:off x="3462337" y="7881938"/>
          <a:ext cx="219075" cy="1143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485775</xdr:colOff>
      <xdr:row>33</xdr:row>
      <xdr:rowOff>180975</xdr:rowOff>
    </xdr:from>
    <xdr:to>
      <xdr:col>7</xdr:col>
      <xdr:colOff>600075</xdr:colOff>
      <xdr:row>34</xdr:row>
      <xdr:rowOff>209550</xdr:rowOff>
    </xdr:to>
    <xdr:sp macro="" textlink="">
      <xdr:nvSpPr>
        <xdr:cNvPr id="202" name="Rectangle 201">
          <a:extLst>
            <a:ext uri="{FF2B5EF4-FFF2-40B4-BE49-F238E27FC236}">
              <a16:creationId xmlns:a16="http://schemas.microsoft.com/office/drawing/2014/main" id="{999E3FC7-6429-4222-BAAB-F9CBD8105309}"/>
            </a:ext>
          </a:extLst>
        </xdr:cNvPr>
        <xdr:cNvSpPr/>
      </xdr:nvSpPr>
      <xdr:spPr>
        <a:xfrm rot="5400000">
          <a:off x="3614737" y="7881938"/>
          <a:ext cx="219075" cy="11430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19050</xdr:colOff>
      <xdr:row>33</xdr:row>
      <xdr:rowOff>180975</xdr:rowOff>
    </xdr:from>
    <xdr:to>
      <xdr:col>8</xdr:col>
      <xdr:colOff>133350</xdr:colOff>
      <xdr:row>34</xdr:row>
      <xdr:rowOff>209550</xdr:rowOff>
    </xdr:to>
    <xdr:sp macro="" textlink="">
      <xdr:nvSpPr>
        <xdr:cNvPr id="203" name="Rectangle 202">
          <a:extLst>
            <a:ext uri="{FF2B5EF4-FFF2-40B4-BE49-F238E27FC236}">
              <a16:creationId xmlns:a16="http://schemas.microsoft.com/office/drawing/2014/main" id="{A9193E5E-FAD3-4D9A-BED1-75880FABD531}"/>
            </a:ext>
          </a:extLst>
        </xdr:cNvPr>
        <xdr:cNvSpPr/>
      </xdr:nvSpPr>
      <xdr:spPr>
        <a:xfrm rot="5400000">
          <a:off x="3757612" y="7881938"/>
          <a:ext cx="219075" cy="114300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847725</xdr:colOff>
      <xdr:row>33</xdr:row>
      <xdr:rowOff>114300</xdr:rowOff>
    </xdr:from>
    <xdr:to>
      <xdr:col>6</xdr:col>
      <xdr:colOff>47625</xdr:colOff>
      <xdr:row>36</xdr:row>
      <xdr:rowOff>104775</xdr:rowOff>
    </xdr:to>
    <xdr:sp macro="" textlink="">
      <xdr:nvSpPr>
        <xdr:cNvPr id="204" name="Frame 203">
          <a:extLst>
            <a:ext uri="{FF2B5EF4-FFF2-40B4-BE49-F238E27FC236}">
              <a16:creationId xmlns:a16="http://schemas.microsoft.com/office/drawing/2014/main" id="{FCC1833F-736C-41A6-83F8-5E74C3574E12}"/>
            </a:ext>
          </a:extLst>
        </xdr:cNvPr>
        <xdr:cNvSpPr/>
      </xdr:nvSpPr>
      <xdr:spPr>
        <a:xfrm flipH="1">
          <a:off x="2562225" y="7762875"/>
          <a:ext cx="57150" cy="590550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857249</xdr:colOff>
      <xdr:row>36</xdr:row>
      <xdr:rowOff>57150</xdr:rowOff>
    </xdr:from>
    <xdr:to>
      <xdr:col>7</xdr:col>
      <xdr:colOff>257174</xdr:colOff>
      <xdr:row>36</xdr:row>
      <xdr:rowOff>114300</xdr:rowOff>
    </xdr:to>
    <xdr:sp macro="" textlink="">
      <xdr:nvSpPr>
        <xdr:cNvPr id="205" name="Frame 204">
          <a:extLst>
            <a:ext uri="{FF2B5EF4-FFF2-40B4-BE49-F238E27FC236}">
              <a16:creationId xmlns:a16="http://schemas.microsoft.com/office/drawing/2014/main" id="{13F3856D-07BF-47F1-B491-F69FCFEA7F68}"/>
            </a:ext>
          </a:extLst>
        </xdr:cNvPr>
        <xdr:cNvSpPr/>
      </xdr:nvSpPr>
      <xdr:spPr>
        <a:xfrm rot="5400000" flipH="1">
          <a:off x="2976562" y="7900987"/>
          <a:ext cx="57150" cy="866775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219075</xdr:colOff>
      <xdr:row>35</xdr:row>
      <xdr:rowOff>19049</xdr:rowOff>
    </xdr:from>
    <xdr:to>
      <xdr:col>7</xdr:col>
      <xdr:colOff>266700</xdr:colOff>
      <xdr:row>36</xdr:row>
      <xdr:rowOff>95249</xdr:rowOff>
    </xdr:to>
    <xdr:sp macro="" textlink="">
      <xdr:nvSpPr>
        <xdr:cNvPr id="206" name="Frame 205">
          <a:extLst>
            <a:ext uri="{FF2B5EF4-FFF2-40B4-BE49-F238E27FC236}">
              <a16:creationId xmlns:a16="http://schemas.microsoft.com/office/drawing/2014/main" id="{F2C74BB3-B435-4B16-B9DB-BBD08DF7A80A}"/>
            </a:ext>
          </a:extLst>
        </xdr:cNvPr>
        <xdr:cNvSpPr/>
      </xdr:nvSpPr>
      <xdr:spPr>
        <a:xfrm flipH="1">
          <a:off x="3400425" y="8067674"/>
          <a:ext cx="47625" cy="276225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238125</xdr:colOff>
      <xdr:row>33</xdr:row>
      <xdr:rowOff>114300</xdr:rowOff>
    </xdr:from>
    <xdr:to>
      <xdr:col>7</xdr:col>
      <xdr:colOff>276225</xdr:colOff>
      <xdr:row>33</xdr:row>
      <xdr:rowOff>171450</xdr:rowOff>
    </xdr:to>
    <xdr:sp macro="" textlink="">
      <xdr:nvSpPr>
        <xdr:cNvPr id="207" name="Frame 206">
          <a:extLst>
            <a:ext uri="{FF2B5EF4-FFF2-40B4-BE49-F238E27FC236}">
              <a16:creationId xmlns:a16="http://schemas.microsoft.com/office/drawing/2014/main" id="{46F32A78-DEA7-4FF4-BDA7-7DECA514C59B}"/>
            </a:ext>
          </a:extLst>
        </xdr:cNvPr>
        <xdr:cNvSpPr/>
      </xdr:nvSpPr>
      <xdr:spPr>
        <a:xfrm rot="5400000" flipH="1">
          <a:off x="3105150" y="7467600"/>
          <a:ext cx="57150" cy="647700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828675</xdr:colOff>
      <xdr:row>31</xdr:row>
      <xdr:rowOff>114300</xdr:rowOff>
    </xdr:from>
    <xdr:to>
      <xdr:col>6</xdr:col>
      <xdr:colOff>17144</xdr:colOff>
      <xdr:row>33</xdr:row>
      <xdr:rowOff>114300</xdr:rowOff>
    </xdr:to>
    <xdr:sp macro="" textlink="">
      <xdr:nvSpPr>
        <xdr:cNvPr id="208" name="Frame 207">
          <a:extLst>
            <a:ext uri="{FF2B5EF4-FFF2-40B4-BE49-F238E27FC236}">
              <a16:creationId xmlns:a16="http://schemas.microsoft.com/office/drawing/2014/main" id="{887F1D51-7EEB-4F3E-A157-3D1767F47D88}"/>
            </a:ext>
          </a:extLst>
        </xdr:cNvPr>
        <xdr:cNvSpPr/>
      </xdr:nvSpPr>
      <xdr:spPr>
        <a:xfrm flipH="1">
          <a:off x="2543175" y="7315200"/>
          <a:ext cx="45719" cy="447675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228600</xdr:colOff>
      <xdr:row>31</xdr:row>
      <xdr:rowOff>104775</xdr:rowOff>
    </xdr:from>
    <xdr:to>
      <xdr:col>6</xdr:col>
      <xdr:colOff>274319</xdr:colOff>
      <xdr:row>33</xdr:row>
      <xdr:rowOff>104775</xdr:rowOff>
    </xdr:to>
    <xdr:sp macro="" textlink="">
      <xdr:nvSpPr>
        <xdr:cNvPr id="209" name="Frame 208">
          <a:extLst>
            <a:ext uri="{FF2B5EF4-FFF2-40B4-BE49-F238E27FC236}">
              <a16:creationId xmlns:a16="http://schemas.microsoft.com/office/drawing/2014/main" id="{437B0251-C450-459E-906E-1DF709822FA8}"/>
            </a:ext>
          </a:extLst>
        </xdr:cNvPr>
        <xdr:cNvSpPr/>
      </xdr:nvSpPr>
      <xdr:spPr>
        <a:xfrm flipH="1">
          <a:off x="2800350" y="7305675"/>
          <a:ext cx="45719" cy="447675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299085</xdr:colOff>
      <xdr:row>35</xdr:row>
      <xdr:rowOff>5715</xdr:rowOff>
    </xdr:from>
    <xdr:to>
      <xdr:col>8</xdr:col>
      <xdr:colOff>127635</xdr:colOff>
      <xdr:row>35</xdr:row>
      <xdr:rowOff>51434</xdr:rowOff>
    </xdr:to>
    <xdr:sp macro="" textlink="">
      <xdr:nvSpPr>
        <xdr:cNvPr id="210" name="Frame 209">
          <a:extLst>
            <a:ext uri="{FF2B5EF4-FFF2-40B4-BE49-F238E27FC236}">
              <a16:creationId xmlns:a16="http://schemas.microsoft.com/office/drawing/2014/main" id="{261FB734-5004-40BA-B9D6-D02DB4B19B87}"/>
            </a:ext>
          </a:extLst>
        </xdr:cNvPr>
        <xdr:cNvSpPr/>
      </xdr:nvSpPr>
      <xdr:spPr>
        <a:xfrm rot="5400000" flipH="1">
          <a:off x="3676650" y="7858125"/>
          <a:ext cx="45719" cy="438150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299085</xdr:colOff>
      <xdr:row>33</xdr:row>
      <xdr:rowOff>139065</xdr:rowOff>
    </xdr:from>
    <xdr:to>
      <xdr:col>8</xdr:col>
      <xdr:colOff>127635</xdr:colOff>
      <xdr:row>33</xdr:row>
      <xdr:rowOff>184784</xdr:rowOff>
    </xdr:to>
    <xdr:sp macro="" textlink="">
      <xdr:nvSpPr>
        <xdr:cNvPr id="211" name="Frame 210">
          <a:extLst>
            <a:ext uri="{FF2B5EF4-FFF2-40B4-BE49-F238E27FC236}">
              <a16:creationId xmlns:a16="http://schemas.microsoft.com/office/drawing/2014/main" id="{679E3412-FA85-4BD4-90A3-25BB8A7B241A}"/>
            </a:ext>
          </a:extLst>
        </xdr:cNvPr>
        <xdr:cNvSpPr/>
      </xdr:nvSpPr>
      <xdr:spPr>
        <a:xfrm rot="5400000" flipH="1">
          <a:off x="3676650" y="7591425"/>
          <a:ext cx="45719" cy="438150"/>
        </a:xfrm>
        <a:prstGeom prst="frame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495300</xdr:colOff>
      <xdr:row>34</xdr:row>
      <xdr:rowOff>161925</xdr:rowOff>
    </xdr:from>
    <xdr:to>
      <xdr:col>4</xdr:col>
      <xdr:colOff>333375</xdr:colOff>
      <xdr:row>34</xdr:row>
      <xdr:rowOff>171450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6ED218E3-E2F2-4642-8A2E-74A75979B100}"/>
            </a:ext>
          </a:extLst>
        </xdr:cNvPr>
        <xdr:cNvCxnSpPr/>
      </xdr:nvCxnSpPr>
      <xdr:spPr>
        <a:xfrm flipV="1">
          <a:off x="733425" y="8010525"/>
          <a:ext cx="981075" cy="9525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328116</xdr:colOff>
      <xdr:row>33</xdr:row>
      <xdr:rowOff>95250</xdr:rowOff>
    </xdr:from>
    <xdr:ext cx="719634" cy="3086100"/>
    <xdr:sp macro="" textlink="">
      <xdr:nvSpPr>
        <xdr:cNvPr id="213" name="Frame 212">
          <a:extLst>
            <a:ext uri="{FF2B5EF4-FFF2-40B4-BE49-F238E27FC236}">
              <a16:creationId xmlns:a16="http://schemas.microsoft.com/office/drawing/2014/main" id="{2FFAAC43-E41E-47CE-A665-3EDBA7E20CF8}"/>
            </a:ext>
          </a:extLst>
        </xdr:cNvPr>
        <xdr:cNvSpPr/>
      </xdr:nvSpPr>
      <xdr:spPr>
        <a:xfrm>
          <a:off x="242391" y="7743825"/>
          <a:ext cx="719634" cy="3086100"/>
        </a:xfrm>
        <a:prstGeom prst="frame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vert" wrap="none" lIns="0" tIns="1005840" rIns="182880" rtlCol="0" anchor="t">
          <a:noAutofit/>
        </a:bodyPr>
        <a:lstStyle/>
        <a:p>
          <a:pPr algn="l"/>
          <a:r>
            <a:rPr lang="en-US" sz="1100">
              <a:solidFill>
                <a:schemeClr val="tx1"/>
              </a:solidFill>
              <a:effectLst>
                <a:outerShdw blurRad="342900" dist="50800" dir="5400000" sx="97000" sy="97000" algn="ctr" rotWithShape="0">
                  <a:schemeClr val="accent2">
                    <a:lumMod val="75000"/>
                  </a:schemeClr>
                </a:outerShdw>
              </a:effectLst>
            </a:rPr>
            <a:t>shipping</a:t>
          </a:r>
          <a:r>
            <a:rPr lang="en-US" sz="1100">
              <a:solidFill>
                <a:schemeClr val="tx1"/>
              </a:solidFill>
              <a:effectLst>
                <a:outerShdw blurRad="76200" dist="50800" dir="5400000" algn="ctr" rotWithShape="0">
                  <a:schemeClr val="accent2">
                    <a:lumMod val="75000"/>
                  </a:schemeClr>
                </a:outerShdw>
              </a:effectLst>
            </a:rPr>
            <a:t> area</a:t>
          </a:r>
        </a:p>
      </xdr:txBody>
    </xdr:sp>
    <xdr:clientData/>
  </xdr:oneCellAnchor>
  <xdr:twoCellAnchor>
    <xdr:from>
      <xdr:col>17</xdr:col>
      <xdr:colOff>373604</xdr:colOff>
      <xdr:row>39</xdr:row>
      <xdr:rowOff>257786</xdr:rowOff>
    </xdr:from>
    <xdr:to>
      <xdr:col>19</xdr:col>
      <xdr:colOff>378098</xdr:colOff>
      <xdr:row>48</xdr:row>
      <xdr:rowOff>69816</xdr:rowOff>
    </xdr:to>
    <xdr:sp macro="" textlink="">
      <xdr:nvSpPr>
        <xdr:cNvPr id="214" name="Rectangle 213">
          <a:extLst>
            <a:ext uri="{FF2B5EF4-FFF2-40B4-BE49-F238E27FC236}">
              <a16:creationId xmlns:a16="http://schemas.microsoft.com/office/drawing/2014/main" id="{F4A48F14-341A-4CAD-B9DC-CA9FB84E075F}"/>
            </a:ext>
          </a:extLst>
        </xdr:cNvPr>
        <xdr:cNvSpPr/>
      </xdr:nvSpPr>
      <xdr:spPr>
        <a:xfrm rot="2071367">
          <a:off x="8260304" y="9135086"/>
          <a:ext cx="1223694" cy="1736080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5760" tIns="274320" rtlCol="0" anchor="t"/>
        <a:lstStyle/>
        <a:p>
          <a:pPr algn="l"/>
          <a:r>
            <a:rPr lang="en-US" sz="1100"/>
            <a:t>WAVING</a:t>
          </a:r>
        </a:p>
      </xdr:txBody>
    </xdr:sp>
    <xdr:clientData/>
  </xdr:twoCellAnchor>
  <xdr:twoCellAnchor>
    <xdr:from>
      <xdr:col>4</xdr:col>
      <xdr:colOff>409575</xdr:colOff>
      <xdr:row>34</xdr:row>
      <xdr:rowOff>180975</xdr:rowOff>
    </xdr:from>
    <xdr:to>
      <xdr:col>5</xdr:col>
      <xdr:colOff>723900</xdr:colOff>
      <xdr:row>34</xdr:row>
      <xdr:rowOff>190500</xdr:rowOff>
    </xdr:to>
    <xdr:cxnSp macro="">
      <xdr:nvCxnSpPr>
        <xdr:cNvPr id="215" name="Straight Connector 214">
          <a:extLst>
            <a:ext uri="{FF2B5EF4-FFF2-40B4-BE49-F238E27FC236}">
              <a16:creationId xmlns:a16="http://schemas.microsoft.com/office/drawing/2014/main" id="{2FFF0D37-7A3B-42BA-9DBD-DF0B875F0E7B}"/>
            </a:ext>
          </a:extLst>
        </xdr:cNvPr>
        <xdr:cNvCxnSpPr/>
      </xdr:nvCxnSpPr>
      <xdr:spPr>
        <a:xfrm>
          <a:off x="1714500" y="8029575"/>
          <a:ext cx="723900" cy="9525"/>
        </a:xfrm>
        <a:prstGeom prst="line">
          <a:avLst/>
        </a:prstGeom>
        <a:ln w="82550">
          <a:solidFill>
            <a:schemeClr val="tx1">
              <a:lumMod val="95000"/>
              <a:lumOff val="5000"/>
            </a:schemeClr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8</xdr:row>
      <xdr:rowOff>76200</xdr:rowOff>
    </xdr:from>
    <xdr:to>
      <xdr:col>7</xdr:col>
      <xdr:colOff>19050</xdr:colOff>
      <xdr:row>10</xdr:row>
      <xdr:rowOff>19050</xdr:rowOff>
    </xdr:to>
    <xdr:cxnSp macro="">
      <xdr:nvCxnSpPr>
        <xdr:cNvPr id="216" name="Straight Arrow Connector 215">
          <a:extLst>
            <a:ext uri="{FF2B5EF4-FFF2-40B4-BE49-F238E27FC236}">
              <a16:creationId xmlns:a16="http://schemas.microsoft.com/office/drawing/2014/main" id="{6B6288C7-2FE2-4289-A49D-3E7B90EBC962}"/>
            </a:ext>
          </a:extLst>
        </xdr:cNvPr>
        <xdr:cNvCxnSpPr/>
      </xdr:nvCxnSpPr>
      <xdr:spPr>
        <a:xfrm flipV="1">
          <a:off x="3200400" y="2609850"/>
          <a:ext cx="0" cy="323850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539750</xdr:colOff>
      <xdr:row>3</xdr:row>
      <xdr:rowOff>0</xdr:rowOff>
    </xdr:from>
    <xdr:to>
      <xdr:col>15</xdr:col>
      <xdr:colOff>2389188</xdr:colOff>
      <xdr:row>3</xdr:row>
      <xdr:rowOff>3175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4685F8C4-AB25-40E3-8BD1-70DE2B7CA379}"/>
            </a:ext>
          </a:extLst>
        </xdr:cNvPr>
        <xdr:cNvCxnSpPr/>
      </xdr:nvCxnSpPr>
      <xdr:spPr>
        <a:xfrm>
          <a:off x="3721100" y="1581150"/>
          <a:ext cx="2011363" cy="3175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</xdr:colOff>
      <xdr:row>14</xdr:row>
      <xdr:rowOff>76200</xdr:rowOff>
    </xdr:from>
    <xdr:to>
      <xdr:col>18</xdr:col>
      <xdr:colOff>19050</xdr:colOff>
      <xdr:row>15</xdr:row>
      <xdr:rowOff>114300</xdr:rowOff>
    </xdr:to>
    <xdr:cxnSp macro="">
      <xdr:nvCxnSpPr>
        <xdr:cNvPr id="218" name="Straight Arrow Connector 217">
          <a:extLst>
            <a:ext uri="{FF2B5EF4-FFF2-40B4-BE49-F238E27FC236}">
              <a16:creationId xmlns:a16="http://schemas.microsoft.com/office/drawing/2014/main" id="{587F9A38-FC0F-42A9-B162-5C418FC1F559}"/>
            </a:ext>
          </a:extLst>
        </xdr:cNvPr>
        <xdr:cNvCxnSpPr/>
      </xdr:nvCxnSpPr>
      <xdr:spPr>
        <a:xfrm>
          <a:off x="8515350" y="3771900"/>
          <a:ext cx="0" cy="238125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607810</xdr:colOff>
      <xdr:row>40</xdr:row>
      <xdr:rowOff>18256</xdr:rowOff>
    </xdr:from>
    <xdr:to>
      <xdr:col>18</xdr:col>
      <xdr:colOff>0</xdr:colOff>
      <xdr:row>41</xdr:row>
      <xdr:rowOff>158750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F6C53C3D-2977-4FA9-902C-109FCB30F0AB}"/>
            </a:ext>
          </a:extLst>
        </xdr:cNvPr>
        <xdr:cNvCxnSpPr/>
      </xdr:nvCxnSpPr>
      <xdr:spPr>
        <a:xfrm>
          <a:off x="8494510" y="9152731"/>
          <a:ext cx="1790" cy="378619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666750</xdr:colOff>
      <xdr:row>44</xdr:row>
      <xdr:rowOff>104775</xdr:rowOff>
    </xdr:from>
    <xdr:to>
      <xdr:col>6</xdr:col>
      <xdr:colOff>104775</xdr:colOff>
      <xdr:row>44</xdr:row>
      <xdr:rowOff>104775</xdr:rowOff>
    </xdr:to>
    <xdr:cxnSp macro="">
      <xdr:nvCxnSpPr>
        <xdr:cNvPr id="220" name="Straight Arrow Connector 219">
          <a:extLst>
            <a:ext uri="{FF2B5EF4-FFF2-40B4-BE49-F238E27FC236}">
              <a16:creationId xmlns:a16="http://schemas.microsoft.com/office/drawing/2014/main" id="{E094D3E3-BF7E-41AD-B29A-9626BB32D763}"/>
            </a:ext>
          </a:extLst>
        </xdr:cNvPr>
        <xdr:cNvCxnSpPr/>
      </xdr:nvCxnSpPr>
      <xdr:spPr>
        <a:xfrm flipH="1">
          <a:off x="2381250" y="10144125"/>
          <a:ext cx="295275" cy="0"/>
        </a:xfrm>
        <a:prstGeom prst="straightConnector1">
          <a:avLst/>
        </a:prstGeom>
        <a:ln w="82550">
          <a:solidFill>
            <a:schemeClr val="tx1"/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504825</xdr:colOff>
      <xdr:row>7</xdr:row>
      <xdr:rowOff>104775</xdr:rowOff>
    </xdr:from>
    <xdr:to>
      <xdr:col>18</xdr:col>
      <xdr:colOff>600074</xdr:colOff>
      <xdr:row>9</xdr:row>
      <xdr:rowOff>9525</xdr:rowOff>
    </xdr:to>
    <xdr:sp macro="" textlink="">
      <xdr:nvSpPr>
        <xdr:cNvPr id="221" name="Rectangle 220">
          <a:extLst>
            <a:ext uri="{FF2B5EF4-FFF2-40B4-BE49-F238E27FC236}">
              <a16:creationId xmlns:a16="http://schemas.microsoft.com/office/drawing/2014/main" id="{45932748-823C-4616-8D48-71909CB85354}"/>
            </a:ext>
          </a:extLst>
        </xdr:cNvPr>
        <xdr:cNvSpPr/>
      </xdr:nvSpPr>
      <xdr:spPr>
        <a:xfrm>
          <a:off x="9001125" y="2447925"/>
          <a:ext cx="95249" cy="285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536575</xdr:colOff>
      <xdr:row>7</xdr:row>
      <xdr:rowOff>127000</xdr:rowOff>
    </xdr:from>
    <xdr:to>
      <xdr:col>21</xdr:col>
      <xdr:colOff>22224</xdr:colOff>
      <xdr:row>9</xdr:row>
      <xdr:rowOff>38100</xdr:rowOff>
    </xdr:to>
    <xdr:sp macro="" textlink="">
      <xdr:nvSpPr>
        <xdr:cNvPr id="222" name="Rectangle 221">
          <a:extLst>
            <a:ext uri="{FF2B5EF4-FFF2-40B4-BE49-F238E27FC236}">
              <a16:creationId xmlns:a16="http://schemas.microsoft.com/office/drawing/2014/main" id="{AC8FF15B-E14D-48CF-871A-953B45497FBC}"/>
            </a:ext>
          </a:extLst>
        </xdr:cNvPr>
        <xdr:cNvSpPr/>
      </xdr:nvSpPr>
      <xdr:spPr>
        <a:xfrm>
          <a:off x="10252075" y="2470150"/>
          <a:ext cx="1219199" cy="2921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330200</xdr:colOff>
      <xdr:row>7</xdr:row>
      <xdr:rowOff>136525</xdr:rowOff>
    </xdr:from>
    <xdr:to>
      <xdr:col>20</xdr:col>
      <xdr:colOff>425449</xdr:colOff>
      <xdr:row>9</xdr:row>
      <xdr:rowOff>41275</xdr:rowOff>
    </xdr:to>
    <xdr:sp macro="" textlink="">
      <xdr:nvSpPr>
        <xdr:cNvPr id="223" name="Rectangle 222">
          <a:extLst>
            <a:ext uri="{FF2B5EF4-FFF2-40B4-BE49-F238E27FC236}">
              <a16:creationId xmlns:a16="http://schemas.microsoft.com/office/drawing/2014/main" id="{2B453749-02F3-422A-9C79-F7255D661FC6}"/>
            </a:ext>
          </a:extLst>
        </xdr:cNvPr>
        <xdr:cNvSpPr/>
      </xdr:nvSpPr>
      <xdr:spPr>
        <a:xfrm>
          <a:off x="10045700" y="2479675"/>
          <a:ext cx="95249" cy="28575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485776</xdr:colOff>
      <xdr:row>7</xdr:row>
      <xdr:rowOff>50545</xdr:rowOff>
    </xdr:from>
    <xdr:to>
      <xdr:col>21</xdr:col>
      <xdr:colOff>28576</xdr:colOff>
      <xdr:row>7</xdr:row>
      <xdr:rowOff>158753</xdr:rowOff>
    </xdr:to>
    <xdr:sp macro="" textlink="">
      <xdr:nvSpPr>
        <xdr:cNvPr id="224" name="Flowchart: Manual Operation 223">
          <a:extLst>
            <a:ext uri="{FF2B5EF4-FFF2-40B4-BE49-F238E27FC236}">
              <a16:creationId xmlns:a16="http://schemas.microsoft.com/office/drawing/2014/main" id="{8B7531B9-0B20-464B-8845-C26580F82149}"/>
            </a:ext>
          </a:extLst>
        </xdr:cNvPr>
        <xdr:cNvSpPr/>
      </xdr:nvSpPr>
      <xdr:spPr>
        <a:xfrm rot="16200000">
          <a:off x="10175747" y="1200024"/>
          <a:ext cx="108208" cy="2495550"/>
        </a:xfrm>
        <a:prstGeom prst="flowChartManualOperation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485776</xdr:colOff>
      <xdr:row>9</xdr:row>
      <xdr:rowOff>0</xdr:rowOff>
    </xdr:from>
    <xdr:to>
      <xdr:col>21</xdr:col>
      <xdr:colOff>0</xdr:colOff>
      <xdr:row>9</xdr:row>
      <xdr:rowOff>87375</xdr:rowOff>
    </xdr:to>
    <xdr:sp macro="" textlink="">
      <xdr:nvSpPr>
        <xdr:cNvPr id="225" name="Flowchart: Manual Operation 224">
          <a:extLst>
            <a:ext uri="{FF2B5EF4-FFF2-40B4-BE49-F238E27FC236}">
              <a16:creationId xmlns:a16="http://schemas.microsoft.com/office/drawing/2014/main" id="{28121A68-2DB7-49CE-AC6D-283866F9CAB3}"/>
            </a:ext>
          </a:extLst>
        </xdr:cNvPr>
        <xdr:cNvSpPr/>
      </xdr:nvSpPr>
      <xdr:spPr>
        <a:xfrm rot="16200000">
          <a:off x="10171875" y="1534351"/>
          <a:ext cx="87375" cy="2466974"/>
        </a:xfrm>
        <a:prstGeom prst="flowChartManualOperation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161925</xdr:colOff>
      <xdr:row>7</xdr:row>
      <xdr:rowOff>65881</xdr:rowOff>
    </xdr:from>
    <xdr:to>
      <xdr:col>17</xdr:col>
      <xdr:colOff>247649</xdr:colOff>
      <xdr:row>9</xdr:row>
      <xdr:rowOff>161924</xdr:rowOff>
    </xdr:to>
    <xdr:sp macro="" textlink="">
      <xdr:nvSpPr>
        <xdr:cNvPr id="226" name="Frame 225">
          <a:extLst>
            <a:ext uri="{FF2B5EF4-FFF2-40B4-BE49-F238E27FC236}">
              <a16:creationId xmlns:a16="http://schemas.microsoft.com/office/drawing/2014/main" id="{CCA604A8-ECF7-4FB8-A066-DFFDD01AC99E}"/>
            </a:ext>
          </a:extLst>
        </xdr:cNvPr>
        <xdr:cNvSpPr/>
      </xdr:nvSpPr>
      <xdr:spPr>
        <a:xfrm rot="16200000" flipV="1">
          <a:off x="7852965" y="2604691"/>
          <a:ext cx="477043" cy="85724"/>
        </a:xfrm>
        <a:prstGeom prst="frame">
          <a:avLst/>
        </a:prstGeom>
        <a:solidFill>
          <a:schemeClr val="accent4"/>
        </a:solidFill>
        <a:ln>
          <a:solidFill>
            <a:srgbClr val="FFC000"/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710046</xdr:colOff>
      <xdr:row>41</xdr:row>
      <xdr:rowOff>180398</xdr:rowOff>
    </xdr:from>
    <xdr:to>
      <xdr:col>15</xdr:col>
      <xdr:colOff>910071</xdr:colOff>
      <xdr:row>43</xdr:row>
      <xdr:rowOff>299463</xdr:rowOff>
    </xdr:to>
    <xdr:sp macro="" textlink="">
      <xdr:nvSpPr>
        <xdr:cNvPr id="227" name="Rectangle 226">
          <a:extLst>
            <a:ext uri="{FF2B5EF4-FFF2-40B4-BE49-F238E27FC236}">
              <a16:creationId xmlns:a16="http://schemas.microsoft.com/office/drawing/2014/main" id="{067F60B4-AAFA-4C8D-B36C-E1A73ED6A7BC}"/>
            </a:ext>
          </a:extLst>
        </xdr:cNvPr>
        <xdr:cNvSpPr/>
      </xdr:nvSpPr>
      <xdr:spPr>
        <a:xfrm rot="5400000">
          <a:off x="5079639" y="9698255"/>
          <a:ext cx="490540" cy="200025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48</a:t>
          </a:r>
        </a:p>
      </xdr:txBody>
    </xdr:sp>
    <xdr:clientData/>
  </xdr:twoCellAnchor>
  <xdr:twoCellAnchor>
    <xdr:from>
      <xdr:col>16</xdr:col>
      <xdr:colOff>119784</xdr:colOff>
      <xdr:row>44</xdr:row>
      <xdr:rowOff>304513</xdr:rowOff>
    </xdr:from>
    <xdr:to>
      <xdr:col>16</xdr:col>
      <xdr:colOff>357909</xdr:colOff>
      <xdr:row>47</xdr:row>
      <xdr:rowOff>121953</xdr:rowOff>
    </xdr:to>
    <xdr:sp macro="" textlink="">
      <xdr:nvSpPr>
        <xdr:cNvPr id="228" name="Rectangle 227">
          <a:extLst>
            <a:ext uri="{FF2B5EF4-FFF2-40B4-BE49-F238E27FC236}">
              <a16:creationId xmlns:a16="http://schemas.microsoft.com/office/drawing/2014/main" id="{CE8E6692-FE9B-4A64-858D-3F599D818104}"/>
            </a:ext>
          </a:extLst>
        </xdr:cNvPr>
        <xdr:cNvSpPr/>
      </xdr:nvSpPr>
      <xdr:spPr>
        <a:xfrm rot="5400000">
          <a:off x="5721277" y="10362120"/>
          <a:ext cx="503240" cy="238125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45</a:t>
          </a:r>
        </a:p>
      </xdr:txBody>
    </xdr:sp>
    <xdr:clientData/>
  </xdr:twoCellAnchor>
  <xdr:twoCellAnchor>
    <xdr:from>
      <xdr:col>15</xdr:col>
      <xdr:colOff>711489</xdr:colOff>
      <xdr:row>44</xdr:row>
      <xdr:rowOff>241012</xdr:rowOff>
    </xdr:from>
    <xdr:to>
      <xdr:col>15</xdr:col>
      <xdr:colOff>930564</xdr:colOff>
      <xdr:row>47</xdr:row>
      <xdr:rowOff>48349</xdr:rowOff>
    </xdr:to>
    <xdr:sp macro="" textlink="">
      <xdr:nvSpPr>
        <xdr:cNvPr id="229" name="Rectangle 228">
          <a:extLst>
            <a:ext uri="{FF2B5EF4-FFF2-40B4-BE49-F238E27FC236}">
              <a16:creationId xmlns:a16="http://schemas.microsoft.com/office/drawing/2014/main" id="{8488F6DC-BA13-4D99-B4DF-B44C72F6B3B6}"/>
            </a:ext>
          </a:extLst>
        </xdr:cNvPr>
        <xdr:cNvSpPr/>
      </xdr:nvSpPr>
      <xdr:spPr>
        <a:xfrm rot="5400000">
          <a:off x="5122646" y="10336430"/>
          <a:ext cx="426462" cy="219075"/>
        </a:xfrm>
        <a:prstGeom prst="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74320" tIns="0" rIns="0" rtlCol="0" anchor="t"/>
        <a:lstStyle/>
        <a:p>
          <a:pPr algn="l"/>
          <a:r>
            <a:rPr lang="en-US" sz="1100"/>
            <a:t>47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refreshOnLoad="1" mc:Ignorable="xr" r:id="rId1" refreshedBy="Julien Pirson" refreshedDate="46178.34561689815" createdVersion="8" refreshedVersion="8" minRefreshableVersion="3" recordCount="7397" xr:uid="{6E3AE7C5-BEF7-4EB0-A524-982AF475AA4E}">
  <cacheSource type="worksheet">
    <worksheetSource ref="A1:D1048576" sheet="Historique"/>
  </cacheSource>
  <cacheFields count="4">
    <cacheField name="Date" numFmtId="0">
      <sharedItems containsNonDate="0" containsDate="1" containsString="0" containsBlank="1" minDate="2026-06-03T00:00:00" maxDate="2026-06-06T00:00:00"/>
    </cacheField>
    <cacheField name="Nom" numFmtId="0">
      <sharedItems containsBlank="1" count="173">
        <s v="AFATSAWO, LORENZO"/>
        <s v="DIMARCA, VINCENZO"/>
        <s v="GYNSTERBLOM, MANON"/>
        <s v="KAPITA, YANNICK"/>
        <s v="PHAN, VAN TREO"/>
        <s v="SUTERA, SANDRO"/>
        <s v="TAS, YOHAN"/>
        <s v="TEHEUX, ANAIS"/>
        <s v="THIAM, BABACAR"/>
        <s v="TRELAKU, GENTRIT"/>
        <s v="ABBES, RABAA"/>
        <s v="ERCIYAS, HASAN"/>
        <s v="LEYS, KEVIN"/>
        <s v="PEETERS, SEBASTIEN"/>
        <s v="ABDELMALKI, YOUSSEF"/>
        <s v="AKPINAR, CELILE"/>
        <s v="ARROUD, HANANE"/>
        <s v="BEAUPAIN, MAXIME"/>
        <s v="BISSOT, TIFFANY"/>
        <s v="BOUCHAT, MORGAN"/>
        <s v="BRUN FRIZ, MARIA LUISA"/>
        <s v="CERQUETO, NUNZIO"/>
        <s v="DEGEE, KEVIN"/>
        <s v="DJOMO NOUYEP, ALAIN"/>
        <s v="DROEVEN, KATHY"/>
        <s v="DUJARDIN, JULIE"/>
        <s v="EL BELLOUT, SOUHAYL"/>
        <s v="FUENTE, CARMINA"/>
        <s v="GAGLA, SARAH"/>
        <s v="GENGOUX, AXELLE"/>
        <s v="GIORDANO, VALERIE"/>
        <s v="HAENTJENS, PASCAL"/>
        <s v="IMPEDOVO, SANDRA"/>
        <s v="JOSSE, MORGANE"/>
        <s v="KARAKASHEV, DEYAN"/>
        <s v="MAMMANO, ELISE"/>
        <s v="MEURANT, ODILE"/>
        <s v="MEZZOUR, M'HAMED HICHAM"/>
        <s v="MONICO, SYDNEY"/>
        <s v="NELLES, SANDRA"/>
        <s v="OZTURK, TIMUR"/>
        <s v="RADEMACKERS, JEREMY"/>
        <s v="REINA, JOSEPHINE"/>
        <s v="RICO SANCHEZ, DANIEL"/>
        <s v="RODRIGUES VAZ, ANDRESSA"/>
        <s v="ROYER, CORALINE"/>
        <s v="SCARANO, SARAH"/>
        <s v="SCHOCKERT, WENDY"/>
        <s v="SIEDLECKA, KLAUDIA"/>
        <s v="SMEERS, THIBAULT"/>
        <s v="SOUMAHORO, MORISSONNE"/>
        <s v="TROIANO, LETICIA"/>
        <s v="TUMUKUNDE, ANAIS"/>
        <s v="VAN EECKE, PASCAL"/>
        <s v="ZAWADZKI, JOACHIM"/>
        <s v="ABSIL, MICHAEL"/>
        <s v="CARIATI, JESSICA"/>
        <s v="MINCHILLI, GIULIANO"/>
        <s v="PIZZINATO, SABRINA"/>
        <s v="AYDIN, YUSUF"/>
        <s v="CIPOLLA, GIUSEPPE"/>
        <s v="DOSIN, ANTHONY"/>
        <s v="GIRIMANA, GERRY"/>
        <s v="KASRI, YOUNES MOHAMED"/>
        <s v="LO PILATO, JONATHAN"/>
        <s v="LY, CHAN CHUNG"/>
        <s v="MOITROUX, BENOIT"/>
        <s v="POUMAY, MARION"/>
        <s v="SIMAR, JORDAN"/>
        <s v="OZER, MELIK"/>
        <s v="RAES, BENJAMIN"/>
        <s v="SASSO, LAETITIA"/>
        <s v="STEMPIEN, VALERIE"/>
        <s v="AGIRMAN, EVA"/>
        <s v="AGNELLO, GERLANDO"/>
        <s v="BURY, ETIENNE"/>
        <s v="CLOSSET, JEROME"/>
        <s v="CSIKIVGYA, ARTUR"/>
        <s v="DECONINCK, PIERRE"/>
        <s v="DELNOOZ, NATHALIE"/>
        <s v="FAID, SOUFIANE"/>
        <s v="FONTAINE, CLARA"/>
        <s v="IGLESIAS VARELA, DANNY"/>
        <s v="IZERE, GRACIELLA"/>
        <s v="MAQUIGNY, ANDY"/>
        <s v="MEIRESONNE, FLORENCE"/>
        <s v="MELAI, MARIKA"/>
        <s v="MUHINDO KAKULE, JACKSON"/>
        <s v="MUNDA, CRISTINA"/>
        <s v="NIYONZIMA, ANNE-ERIKA"/>
        <s v="NIYONZIMA, MATHIEU"/>
        <s v="PERSEO, LUCA"/>
        <s v="SINANI, ARIANA"/>
        <s v="STARCK, THIERRY"/>
        <s v="TOUMI, CHAHID"/>
        <s v="VANDAMME, VANY"/>
        <s v="WEIS, ANTHONY"/>
        <s v="FAVYTS, SAMUEL"/>
        <s v="GUENOUNOU, KARIMA"/>
        <s v="MAGERMANS, ELODIE"/>
        <s v="MAROT, MAXIME"/>
        <s v="PEEREN, VINCENT"/>
        <s v="SEEL, STEPHANIE"/>
        <s v="COLLARD, MANON"/>
        <s v="BERARDI, DAVID"/>
        <s v="BLU, ADZO"/>
        <s v="COURTOIS, CHARLINE"/>
        <s v="SALINGUE, DIMITRI"/>
        <s v="SCHOUMAKER, LUC"/>
        <s v="STEPHANIE, JESSICA"/>
        <s v="BEYER, PRESCILIA"/>
        <s v="BOUDART, DENIS"/>
        <s v="COPEE, ANGELA"/>
        <s v="EMURLAI, DZINGIS"/>
        <s v="FABRY, LAURA"/>
        <s v="GALLO, CARMELO"/>
        <s v="HALTER, BRYAN"/>
        <s v="JACOB, MANUELLE"/>
        <s v="JACQUEMIN, NICOLE"/>
        <s v="LOVINFOSSE, THOMAS"/>
        <s v="MARTIN, CAROLINE"/>
        <s v="N'GUESSAN, ARNAUD"/>
        <s v="SBIHI, ZINAB"/>
        <s v="SUSUROV, ALI"/>
        <s v="TOGNI, ALEXANDRE"/>
        <s v="UZUNALI, SEMRAL"/>
        <s v="VAN DIEPEN, BENOIT"/>
        <s v="VAN HOVE, LUC"/>
        <s v="WEINHARDT, ROSA"/>
        <s v="YALINKILICLI, HANDAN"/>
        <s v="ZENASNI, FAISSAL"/>
        <s v="WILISQUI, JEAN-MICHEL"/>
        <s v="DEKEYSER, SEVERINE"/>
        <s v="AUSSEM, GAEL"/>
        <s v="AYSAN, MERVE"/>
        <s v="BASTARDO, IVANA"/>
        <s v="EL BSAHI, HICHAM"/>
        <s v="IKORINEZA, DAVY"/>
        <s v="JACHIMOWICZ, BARBARA"/>
        <s v="LECLERRE, GREGORY"/>
        <s v="RODRIGUEZ TORRES, LORIS"/>
        <s v="VAN OOTEGHEM, MARVIN"/>
        <s v="BIGICA, FRANCOIS"/>
        <s v="BROHEE, BRYAN"/>
        <s v="GUILLEN GONSALEZ, ROMAIN"/>
        <s v="HERBET, CASSANDRA"/>
        <s v="JAAFARI, ABDELLATIF"/>
        <s v="KOUDOU, EMILE"/>
        <s v="LAWSON, LATE"/>
        <s v="LEGEAR, MICHAEL"/>
        <s v="LOBET, CHRISTOPHE"/>
        <s v="LY, CHAN-TIENG"/>
        <s v="MUGISHA, YVAN"/>
        <s v="TOFFOLI, AURELIE"/>
        <s v="TRESNIE, LINDSEY"/>
        <s v="VANASCHEN, KEVIN"/>
        <s v="WAUTHIER, CEDRIC"/>
        <s v="ABERKANI, KAWTAR"/>
        <s v="DE SIMONE, FABIAN"/>
        <s v="MENSAH, THOMAS"/>
        <s v="MEREHOUM, AYMANE"/>
        <s v="TERRON, ANTHONY"/>
        <s v="CHENOIX, JASON"/>
        <s v="ANGUTAEV, OESAMAT"/>
        <s v="EVRARD, CHRISTINE"/>
        <s v="NGUENZI, JOSUE"/>
        <s v="SORCE, GIOVANNA"/>
        <s v="UDDIN, HAFIZ"/>
        <s v="VARAGONE, DAVINA"/>
        <s v="MALPAS, BRIAN"/>
        <s v="NUTTIN-SAGEHOMME, PIERRE"/>
        <s v="MULLER, JORDAN"/>
        <m/>
      </sharedItems>
    </cacheField>
    <cacheField name="Shift" numFmtId="0">
      <sharedItems containsBlank="1"/>
    </cacheField>
    <cacheField name="Role" numFmtId="0">
      <sharedItems containsBlank="1" count="10">
        <s v="MTO"/>
        <s v="SYNO"/>
        <s v="SO"/>
        <s v="Shipping"/>
        <s v="Rework LO"/>
        <s v="Merging"/>
        <s v="Huge Order"/>
        <s v="Multi Totes Orders"/>
        <s v="SNY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97">
  <r>
    <d v="2026-06-03T00:00:00"/>
    <x v="0"/>
    <s v="AM"/>
    <x v="0"/>
  </r>
  <r>
    <d v="2026-06-03T00:00:00"/>
    <x v="1"/>
    <s v="AM"/>
    <x v="0"/>
  </r>
  <r>
    <d v="2026-06-03T00:00:00"/>
    <x v="2"/>
    <s v="AM"/>
    <x v="0"/>
  </r>
  <r>
    <d v="2026-06-03T00:00:00"/>
    <x v="3"/>
    <s v="AM"/>
    <x v="0"/>
  </r>
  <r>
    <d v="2026-06-03T00:00:00"/>
    <x v="4"/>
    <s v="AM"/>
    <x v="0"/>
  </r>
  <r>
    <d v="2026-06-03T00:00:00"/>
    <x v="5"/>
    <s v="AM"/>
    <x v="0"/>
  </r>
  <r>
    <d v="2026-06-03T00:00:00"/>
    <x v="6"/>
    <s v="AM"/>
    <x v="0"/>
  </r>
  <r>
    <d v="2026-06-03T00:00:00"/>
    <x v="7"/>
    <s v="AM"/>
    <x v="0"/>
  </r>
  <r>
    <d v="2026-06-03T00:00:00"/>
    <x v="8"/>
    <s v="AM"/>
    <x v="0"/>
  </r>
  <r>
    <d v="2026-06-03T00:00:00"/>
    <x v="9"/>
    <s v="AM"/>
    <x v="0"/>
  </r>
  <r>
    <d v="2026-06-03T00:00:00"/>
    <x v="10"/>
    <s v="AM"/>
    <x v="1"/>
  </r>
  <r>
    <d v="2026-06-03T00:00:00"/>
    <x v="11"/>
    <s v="AM"/>
    <x v="1"/>
  </r>
  <r>
    <d v="2026-06-03T00:00:00"/>
    <x v="12"/>
    <s v="AM"/>
    <x v="1"/>
  </r>
  <r>
    <d v="2026-06-03T00:00:00"/>
    <x v="13"/>
    <s v="AM"/>
    <x v="1"/>
  </r>
  <r>
    <d v="2026-06-03T00:00:00"/>
    <x v="14"/>
    <s v="AM"/>
    <x v="2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18"/>
    <s v="AM"/>
    <x v="2"/>
  </r>
  <r>
    <d v="2026-06-03T00:00:00"/>
    <x v="19"/>
    <s v="AM"/>
    <x v="2"/>
  </r>
  <r>
    <d v="2026-06-03T00:00:00"/>
    <x v="20"/>
    <s v="AM"/>
    <x v="2"/>
  </r>
  <r>
    <d v="2026-06-03T00:00:00"/>
    <x v="21"/>
    <s v="AM"/>
    <x v="2"/>
  </r>
  <r>
    <d v="2026-06-03T00:00:00"/>
    <x v="22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27"/>
    <s v="MI-TEMPS"/>
    <x v="2"/>
  </r>
  <r>
    <d v="2026-06-03T00:00:00"/>
    <x v="28"/>
    <s v="AM"/>
    <x v="2"/>
  </r>
  <r>
    <d v="2026-06-03T00:00:00"/>
    <x v="29"/>
    <s v="AM"/>
    <x v="2"/>
  </r>
  <r>
    <d v="2026-06-03T00:00:00"/>
    <x v="30"/>
    <s v="DAY"/>
    <x v="2"/>
  </r>
  <r>
    <d v="2026-06-03T00:00:00"/>
    <x v="31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4"/>
    <s v="AM"/>
    <x v="2"/>
  </r>
  <r>
    <d v="2026-06-03T00:00:00"/>
    <x v="35"/>
    <s v="AM"/>
    <x v="2"/>
  </r>
  <r>
    <d v="2026-06-03T00:00:00"/>
    <x v="36"/>
    <s v="AM"/>
    <x v="2"/>
  </r>
  <r>
    <d v="2026-06-03T00:00:00"/>
    <x v="37"/>
    <s v="DAY"/>
    <x v="2"/>
  </r>
  <r>
    <d v="2026-06-03T00:00:00"/>
    <x v="38"/>
    <s v="AM"/>
    <x v="2"/>
  </r>
  <r>
    <d v="2026-06-03T00:00:00"/>
    <x v="39"/>
    <s v="AM"/>
    <x v="2"/>
  </r>
  <r>
    <d v="2026-06-03T00:00:00"/>
    <x v="40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7"/>
    <s v="AM"/>
    <x v="2"/>
  </r>
  <r>
    <d v="2026-06-03T00:00:00"/>
    <x v="48"/>
    <s v="MI-TEMPS"/>
    <x v="2"/>
  </r>
  <r>
    <d v="2026-06-03T00:00:00"/>
    <x v="49"/>
    <s v="AM"/>
    <x v="2"/>
  </r>
  <r>
    <d v="2026-06-03T00:00:00"/>
    <x v="50"/>
    <s v="AM"/>
    <x v="2"/>
  </r>
  <r>
    <d v="2026-06-03T00:00:00"/>
    <x v="51"/>
    <s v="DAY"/>
    <x v="2"/>
  </r>
  <r>
    <d v="2026-06-03T00:00:00"/>
    <x v="52"/>
    <s v="AM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59"/>
    <s v="PM"/>
    <x v="0"/>
  </r>
  <r>
    <d v="2026-06-03T00:00:00"/>
    <x v="60"/>
    <s v="PM"/>
    <x v="0"/>
  </r>
  <r>
    <d v="2026-06-03T00:00:00"/>
    <x v="61"/>
    <s v="PM"/>
    <x v="0"/>
  </r>
  <r>
    <d v="2026-06-03T00:00:00"/>
    <x v="62"/>
    <s v="PM"/>
    <x v="0"/>
  </r>
  <r>
    <d v="2026-06-03T00:00:00"/>
    <x v="63"/>
    <s v="PM"/>
    <x v="0"/>
  </r>
  <r>
    <d v="2026-06-03T00:00:00"/>
    <x v="64"/>
    <s v="PM"/>
    <x v="0"/>
  </r>
  <r>
    <d v="2026-06-03T00:00:00"/>
    <x v="65"/>
    <s v="PM"/>
    <x v="0"/>
  </r>
  <r>
    <d v="2026-06-03T00:00:00"/>
    <x v="66"/>
    <s v="PM"/>
    <x v="0"/>
  </r>
  <r>
    <d v="2026-06-03T00:00:00"/>
    <x v="67"/>
    <s v="PM"/>
    <x v="0"/>
  </r>
  <r>
    <d v="2026-06-03T00:00:00"/>
    <x v="68"/>
    <s v="PM"/>
    <x v="0"/>
  </r>
  <r>
    <d v="2026-06-03T00:00:00"/>
    <x v="69"/>
    <s v="PM"/>
    <x v="1"/>
  </r>
  <r>
    <d v="2026-06-03T00:00:00"/>
    <x v="70"/>
    <s v="PM"/>
    <x v="1"/>
  </r>
  <r>
    <d v="2026-06-03T00:00:00"/>
    <x v="71"/>
    <s v="PM"/>
    <x v="1"/>
  </r>
  <r>
    <d v="2026-06-03T00:00:00"/>
    <x v="72"/>
    <s v="PM"/>
    <x v="1"/>
  </r>
  <r>
    <d v="2026-06-03T00:00:00"/>
    <x v="73"/>
    <s v="PM"/>
    <x v="2"/>
  </r>
  <r>
    <d v="2026-06-03T00:00:00"/>
    <x v="74"/>
    <s v="PM"/>
    <x v="2"/>
  </r>
  <r>
    <d v="2026-06-03T00:00:00"/>
    <x v="75"/>
    <s v="PM"/>
    <x v="2"/>
  </r>
  <r>
    <d v="2026-06-03T00:00:00"/>
    <x v="76"/>
    <s v="PM"/>
    <x v="2"/>
  </r>
  <r>
    <d v="2026-06-03T00:00:00"/>
    <x v="77"/>
    <s v="PM"/>
    <x v="2"/>
  </r>
  <r>
    <d v="2026-06-03T00:00:00"/>
    <x v="78"/>
    <s v="PM"/>
    <x v="2"/>
  </r>
  <r>
    <d v="2026-06-03T00:00:00"/>
    <x v="79"/>
    <s v="PM"/>
    <x v="2"/>
  </r>
  <r>
    <d v="2026-06-03T00:00:00"/>
    <x v="80"/>
    <s v="PM"/>
    <x v="2"/>
  </r>
  <r>
    <d v="2026-06-03T00:00:00"/>
    <x v="81"/>
    <s v="PM"/>
    <x v="2"/>
  </r>
  <r>
    <d v="2026-06-03T00:00:00"/>
    <x v="82"/>
    <s v="PM"/>
    <x v="2"/>
  </r>
  <r>
    <d v="2026-06-03T00:00:00"/>
    <x v="83"/>
    <s v="PM"/>
    <x v="2"/>
  </r>
  <r>
    <d v="2026-06-03T00:00:00"/>
    <x v="84"/>
    <s v="PM"/>
    <x v="2"/>
  </r>
  <r>
    <d v="2026-06-03T00:00:00"/>
    <x v="85"/>
    <s v="PM"/>
    <x v="2"/>
  </r>
  <r>
    <d v="2026-06-03T00:00:00"/>
    <x v="86"/>
    <s v="PM"/>
    <x v="2"/>
  </r>
  <r>
    <d v="2026-06-03T00:00:00"/>
    <x v="87"/>
    <s v="PM"/>
    <x v="2"/>
  </r>
  <r>
    <d v="2026-06-03T00:00:00"/>
    <x v="88"/>
    <s v="PM"/>
    <x v="2"/>
  </r>
  <r>
    <d v="2026-06-03T00:00:00"/>
    <x v="89"/>
    <s v="PM"/>
    <x v="2"/>
  </r>
  <r>
    <d v="2026-06-03T00:00:00"/>
    <x v="90"/>
    <s v="PM"/>
    <x v="2"/>
  </r>
  <r>
    <d v="2026-06-03T00:00:00"/>
    <x v="91"/>
    <s v="PM"/>
    <x v="2"/>
  </r>
  <r>
    <d v="2026-06-03T00:00:00"/>
    <x v="92"/>
    <s v="PM"/>
    <x v="2"/>
  </r>
  <r>
    <d v="2026-06-03T00:00:00"/>
    <x v="93"/>
    <s v="PM"/>
    <x v="2"/>
  </r>
  <r>
    <d v="2026-06-03T00:00:00"/>
    <x v="94"/>
    <s v="PM"/>
    <x v="2"/>
  </r>
  <r>
    <d v="2026-06-03T00:00:00"/>
    <x v="95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02"/>
    <s v="AM"/>
    <x v="4"/>
  </r>
  <r>
    <d v="2026-06-03T00:00:00"/>
    <x v="103"/>
    <s v="AM"/>
    <x v="5"/>
  </r>
  <r>
    <d v="2026-06-03T00:00:00"/>
    <x v="104"/>
    <s v="AM"/>
    <x v="6"/>
  </r>
  <r>
    <d v="2026-06-03T00:00:00"/>
    <x v="105"/>
    <s v="AM"/>
    <x v="6"/>
  </r>
  <r>
    <d v="2026-06-03T00:00:00"/>
    <x v="106"/>
    <s v="AM"/>
    <x v="6"/>
  </r>
  <r>
    <d v="2026-06-03T00:00:00"/>
    <x v="107"/>
    <s v="AM"/>
    <x v="6"/>
  </r>
  <r>
    <d v="2026-06-03T00:00:00"/>
    <x v="108"/>
    <s v="AM"/>
    <x v="6"/>
  </r>
  <r>
    <d v="2026-06-03T00:00:00"/>
    <x v="109"/>
    <s v="AM"/>
    <x v="6"/>
  </r>
  <r>
    <d v="2026-06-03T00:00:00"/>
    <x v="110"/>
    <s v="AM"/>
    <x v="7"/>
  </r>
  <r>
    <d v="2026-06-03T00:00:00"/>
    <x v="111"/>
    <s v="AM"/>
    <x v="7"/>
  </r>
  <r>
    <d v="2026-06-03T00:00:00"/>
    <x v="112"/>
    <s v="DAY"/>
    <x v="7"/>
  </r>
  <r>
    <d v="2026-06-03T00:00:00"/>
    <x v="113"/>
    <s v="AM"/>
    <x v="7"/>
  </r>
  <r>
    <d v="2026-06-03T00:00:00"/>
    <x v="114"/>
    <s v="DAY"/>
    <x v="7"/>
  </r>
  <r>
    <d v="2026-06-03T00:00:00"/>
    <x v="115"/>
    <s v="AM"/>
    <x v="7"/>
  </r>
  <r>
    <d v="2026-06-03T00:00:00"/>
    <x v="116"/>
    <s v="AM"/>
    <x v="7"/>
  </r>
  <r>
    <d v="2026-06-03T00:00:00"/>
    <x v="117"/>
    <s v="AM"/>
    <x v="7"/>
  </r>
  <r>
    <d v="2026-06-03T00:00:00"/>
    <x v="118"/>
    <s v="AM"/>
    <x v="7"/>
  </r>
  <r>
    <d v="2026-06-03T00:00:00"/>
    <x v="119"/>
    <s v="AM"/>
    <x v="7"/>
  </r>
  <r>
    <d v="2026-06-03T00:00:00"/>
    <x v="120"/>
    <s v="AM"/>
    <x v="7"/>
  </r>
  <r>
    <d v="2026-06-03T00:00:00"/>
    <x v="121"/>
    <s v="AM"/>
    <x v="7"/>
  </r>
  <r>
    <d v="2026-06-03T00:00:00"/>
    <x v="122"/>
    <s v="AM"/>
    <x v="7"/>
  </r>
  <r>
    <d v="2026-06-03T00:00:00"/>
    <x v="123"/>
    <s v="AM"/>
    <x v="7"/>
  </r>
  <r>
    <d v="2026-06-03T00:00:00"/>
    <x v="124"/>
    <s v="AM"/>
    <x v="7"/>
  </r>
  <r>
    <d v="2026-06-03T00:00:00"/>
    <x v="125"/>
    <s v="DAY"/>
    <x v="7"/>
  </r>
  <r>
    <d v="2026-06-03T00:00:00"/>
    <x v="126"/>
    <s v="AM"/>
    <x v="7"/>
  </r>
  <r>
    <d v="2026-06-03T00:00:00"/>
    <x v="127"/>
    <s v="AM"/>
    <x v="7"/>
  </r>
  <r>
    <d v="2026-06-03T00:00:00"/>
    <x v="128"/>
    <s v="AM"/>
    <x v="7"/>
  </r>
  <r>
    <d v="2026-06-03T00:00:00"/>
    <x v="129"/>
    <s v="AM"/>
    <x v="7"/>
  </r>
  <r>
    <d v="2026-06-03T00:00:00"/>
    <x v="130"/>
    <s v="AM"/>
    <x v="7"/>
  </r>
  <r>
    <d v="2026-06-03T00:00:00"/>
    <x v="131"/>
    <s v="PM"/>
    <x v="4"/>
  </r>
  <r>
    <d v="2026-06-03T00:00:00"/>
    <x v="132"/>
    <s v="PM"/>
    <x v="5"/>
  </r>
  <r>
    <d v="2026-06-03T00:00:00"/>
    <x v="133"/>
    <s v="PM"/>
    <x v="6"/>
  </r>
  <r>
    <d v="2026-06-03T00:00:00"/>
    <x v="134"/>
    <s v="PM"/>
    <x v="6"/>
  </r>
  <r>
    <d v="2026-06-03T00:00:00"/>
    <x v="135"/>
    <s v="PM"/>
    <x v="6"/>
  </r>
  <r>
    <d v="2026-06-03T00:00:00"/>
    <x v="136"/>
    <s v="PM"/>
    <x v="6"/>
  </r>
  <r>
    <d v="2026-06-03T00:00:00"/>
    <x v="137"/>
    <s v="PM"/>
    <x v="6"/>
  </r>
  <r>
    <d v="2026-06-03T00:00:00"/>
    <x v="138"/>
    <s v="PM"/>
    <x v="6"/>
  </r>
  <r>
    <d v="2026-06-03T00:00:00"/>
    <x v="139"/>
    <s v="PM"/>
    <x v="6"/>
  </r>
  <r>
    <d v="2026-06-03T00:00:00"/>
    <x v="140"/>
    <s v="PM"/>
    <x v="6"/>
  </r>
  <r>
    <d v="2026-06-03T00:00:00"/>
    <x v="141"/>
    <s v="PM"/>
    <x v="6"/>
  </r>
  <r>
    <d v="2026-06-03T00:00:00"/>
    <x v="142"/>
    <s v="PM"/>
    <x v="7"/>
  </r>
  <r>
    <d v="2026-06-03T00:00:00"/>
    <x v="143"/>
    <s v="PM"/>
    <x v="7"/>
  </r>
  <r>
    <d v="2026-06-03T00:00:00"/>
    <x v="144"/>
    <s v="PM"/>
    <x v="7"/>
  </r>
  <r>
    <d v="2026-06-03T00:00:00"/>
    <x v="145"/>
    <s v="PM"/>
    <x v="7"/>
  </r>
  <r>
    <d v="2026-06-03T00:00:00"/>
    <x v="146"/>
    <s v="PM"/>
    <x v="7"/>
  </r>
  <r>
    <d v="2026-06-03T00:00:00"/>
    <x v="147"/>
    <s v="PM"/>
    <x v="7"/>
  </r>
  <r>
    <d v="2026-06-03T00:00:00"/>
    <x v="148"/>
    <s v="PM"/>
    <x v="7"/>
  </r>
  <r>
    <d v="2026-06-03T00:00:00"/>
    <x v="149"/>
    <s v="PM"/>
    <x v="7"/>
  </r>
  <r>
    <d v="2026-06-03T00:00:00"/>
    <x v="150"/>
    <s v="PM"/>
    <x v="7"/>
  </r>
  <r>
    <d v="2026-06-03T00:00:00"/>
    <x v="151"/>
    <s v="PM"/>
    <x v="7"/>
  </r>
  <r>
    <d v="2026-06-03T00:00:00"/>
    <x v="152"/>
    <s v="PM"/>
    <x v="7"/>
  </r>
  <r>
    <d v="2026-06-03T00:00:00"/>
    <x v="153"/>
    <s v="PM"/>
    <x v="7"/>
  </r>
  <r>
    <d v="2026-06-03T00:00:00"/>
    <x v="154"/>
    <s v="PM"/>
    <x v="7"/>
  </r>
  <r>
    <d v="2026-06-03T00:00:00"/>
    <x v="155"/>
    <s v="PM"/>
    <x v="7"/>
  </r>
  <r>
    <d v="2026-06-03T00:00:00"/>
    <x v="156"/>
    <s v="PM"/>
    <x v="7"/>
  </r>
  <r>
    <d v="2026-06-03T00:00:00"/>
    <x v="18"/>
    <s v="AM"/>
    <x v="0"/>
  </r>
  <r>
    <d v="2026-06-03T00:00:00"/>
    <x v="20"/>
    <s v="AM"/>
    <x v="0"/>
  </r>
  <r>
    <d v="2026-06-03T00:00:00"/>
    <x v="21"/>
    <s v="AM"/>
    <x v="0"/>
  </r>
  <r>
    <d v="2026-06-03T00:00:00"/>
    <x v="26"/>
    <s v="AM"/>
    <x v="0"/>
  </r>
  <r>
    <d v="2026-06-03T00:00:00"/>
    <x v="27"/>
    <s v="MI-TEMPS"/>
    <x v="0"/>
  </r>
  <r>
    <d v="2026-06-03T00:00:00"/>
    <x v="31"/>
    <s v="AM"/>
    <x v="0"/>
  </r>
  <r>
    <d v="2026-06-03T00:00:00"/>
    <x v="33"/>
    <s v="AM"/>
    <x v="0"/>
  </r>
  <r>
    <d v="2026-06-03T00:00:00"/>
    <x v="39"/>
    <s v="AM"/>
    <x v="0"/>
  </r>
  <r>
    <d v="2026-06-03T00:00:00"/>
    <x v="49"/>
    <s v="AM"/>
    <x v="0"/>
  </r>
  <r>
    <d v="2026-06-03T00:00:00"/>
    <x v="52"/>
    <s v="AM"/>
    <x v="0"/>
  </r>
  <r>
    <d v="2026-06-03T00:00:00"/>
    <x v="23"/>
    <s v="AM"/>
    <x v="1"/>
  </r>
  <r>
    <d v="2026-06-03T00:00:00"/>
    <x v="38"/>
    <s v="AM"/>
    <x v="1"/>
  </r>
  <r>
    <d v="2026-06-03T00:00:00"/>
    <x v="8"/>
    <s v="AM"/>
    <x v="1"/>
  </r>
  <r>
    <d v="2026-06-03T00:00:00"/>
    <x v="54"/>
    <s v="DAY"/>
    <x v="1"/>
  </r>
  <r>
    <d v="2026-06-03T00:00:00"/>
    <x v="10"/>
    <s v="AM"/>
    <x v="2"/>
  </r>
  <r>
    <d v="2026-06-03T00:00:00"/>
    <x v="14"/>
    <s v="AM"/>
    <x v="2"/>
  </r>
  <r>
    <d v="2026-06-03T00:00:00"/>
    <x v="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19"/>
    <s v="AM"/>
    <x v="2"/>
  </r>
  <r>
    <d v="2026-06-03T00:00:00"/>
    <x v="22"/>
    <s v="AM"/>
    <x v="2"/>
  </r>
  <r>
    <d v="2026-06-03T00:00:00"/>
    <x v="1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11"/>
    <s v="AM"/>
    <x v="2"/>
  </r>
  <r>
    <d v="2026-06-03T00:00:00"/>
    <x v="28"/>
    <s v="AM"/>
    <x v="2"/>
  </r>
  <r>
    <d v="2026-06-03T00:00:00"/>
    <x v="29"/>
    <s v="AM"/>
    <x v="2"/>
  </r>
  <r>
    <d v="2026-06-03T00:00:00"/>
    <x v="30"/>
    <s v="DAY"/>
    <x v="2"/>
  </r>
  <r>
    <d v="2026-06-03T00:00:00"/>
    <x v="2"/>
    <s v="AM"/>
    <x v="2"/>
  </r>
  <r>
    <d v="2026-06-03T00:00:00"/>
    <x v="32"/>
    <s v="MI-TEMPS"/>
    <x v="2"/>
  </r>
  <r>
    <d v="2026-06-03T00:00:00"/>
    <x v="3"/>
    <s v="AM"/>
    <x v="2"/>
  </r>
  <r>
    <d v="2026-06-03T00:00:00"/>
    <x v="34"/>
    <s v="AM"/>
    <x v="2"/>
  </r>
  <r>
    <d v="2026-06-03T00:00:00"/>
    <x v="12"/>
    <s v="AM"/>
    <x v="2"/>
  </r>
  <r>
    <d v="2026-06-03T00:00:00"/>
    <x v="35"/>
    <s v="AM"/>
    <x v="2"/>
  </r>
  <r>
    <d v="2026-06-03T00:00:00"/>
    <x v="36"/>
    <s v="AM"/>
    <x v="2"/>
  </r>
  <r>
    <d v="2026-06-03T00:00:00"/>
    <x v="37"/>
    <s v="DAY"/>
    <x v="2"/>
  </r>
  <r>
    <d v="2026-06-03T00:00:00"/>
    <x v="40"/>
    <s v="AM"/>
    <x v="2"/>
  </r>
  <r>
    <d v="2026-06-03T00:00:00"/>
    <x v="13"/>
    <s v="AM"/>
    <x v="2"/>
  </r>
  <r>
    <d v="2026-06-03T00:00:00"/>
    <x v="4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7"/>
    <s v="AM"/>
    <x v="2"/>
  </r>
  <r>
    <d v="2026-06-03T00:00:00"/>
    <x v="48"/>
    <s v="MI-TEMPS"/>
    <x v="2"/>
  </r>
  <r>
    <d v="2026-06-03T00:00:00"/>
    <x v="50"/>
    <s v="AM"/>
    <x v="2"/>
  </r>
  <r>
    <d v="2026-06-03T00:00:00"/>
    <x v="5"/>
    <s v="AM"/>
    <x v="2"/>
  </r>
  <r>
    <d v="2026-06-03T00:00:00"/>
    <x v="6"/>
    <s v="AM"/>
    <x v="2"/>
  </r>
  <r>
    <d v="2026-06-03T00:00:00"/>
    <x v="7"/>
    <s v="AM"/>
    <x v="2"/>
  </r>
  <r>
    <d v="2026-06-03T00:00:00"/>
    <x v="9"/>
    <s v="AM"/>
    <x v="2"/>
  </r>
  <r>
    <d v="2026-06-03T00:00:00"/>
    <x v="51"/>
    <s v="DAY"/>
    <x v="2"/>
  </r>
  <r>
    <d v="2026-06-03T00:00:00"/>
    <x v="53"/>
    <s v="MI-TEMPS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5"/>
    <s v="PM"/>
    <x v="0"/>
  </r>
  <r>
    <d v="2026-06-03T00:00:00"/>
    <x v="78"/>
    <s v="PM"/>
    <x v="0"/>
  </r>
  <r>
    <d v="2026-06-03T00:00:00"/>
    <x v="82"/>
    <s v="PM"/>
    <x v="0"/>
  </r>
  <r>
    <d v="2026-06-03T00:00:00"/>
    <x v="87"/>
    <s v="PM"/>
    <x v="0"/>
  </r>
  <r>
    <d v="2026-06-03T00:00:00"/>
    <x v="90"/>
    <s v="PM"/>
    <x v="0"/>
  </r>
  <r>
    <d v="2026-06-03T00:00:00"/>
    <x v="69"/>
    <s v="PM"/>
    <x v="0"/>
  </r>
  <r>
    <d v="2026-06-03T00:00:00"/>
    <x v="71"/>
    <s v="PM"/>
    <x v="0"/>
  </r>
  <r>
    <d v="2026-06-03T00:00:00"/>
    <x v="93"/>
    <s v="PM"/>
    <x v="0"/>
  </r>
  <r>
    <d v="2026-06-03T00:00:00"/>
    <x v="72"/>
    <s v="PM"/>
    <x v="0"/>
  </r>
  <r>
    <d v="2026-06-03T00:00:00"/>
    <x v="94"/>
    <s v="PM"/>
    <x v="0"/>
  </r>
  <r>
    <d v="2026-06-03T00:00:00"/>
    <x v="88"/>
    <s v="PM"/>
    <x v="1"/>
  </r>
  <r>
    <d v="2026-06-03T00:00:00"/>
    <x v="68"/>
    <s v="PM"/>
    <x v="1"/>
  </r>
  <r>
    <d v="2026-06-03T00:00:00"/>
    <x v="92"/>
    <s v="PM"/>
    <x v="1"/>
  </r>
  <r>
    <d v="2026-06-03T00:00:00"/>
    <x v="96"/>
    <s v="PM"/>
    <x v="1"/>
  </r>
  <r>
    <d v="2026-06-03T00:00:00"/>
    <x v="73"/>
    <s v="PM"/>
    <x v="2"/>
  </r>
  <r>
    <d v="2026-06-03T00:00:00"/>
    <x v="74"/>
    <s v="PM"/>
    <x v="2"/>
  </r>
  <r>
    <d v="2026-06-03T00:00:00"/>
    <x v="59"/>
    <s v="PM"/>
    <x v="2"/>
  </r>
  <r>
    <d v="2026-06-03T00:00:00"/>
    <x v="60"/>
    <s v="PM"/>
    <x v="2"/>
  </r>
  <r>
    <d v="2026-06-03T00:00:00"/>
    <x v="76"/>
    <s v="PM"/>
    <x v="2"/>
  </r>
  <r>
    <d v="2026-06-03T00:00:00"/>
    <x v="77"/>
    <s v="PM"/>
    <x v="2"/>
  </r>
  <r>
    <d v="2026-06-03T00:00:00"/>
    <x v="79"/>
    <s v="PM"/>
    <x v="2"/>
  </r>
  <r>
    <d v="2026-06-03T00:00:00"/>
    <x v="61"/>
    <s v="PM"/>
    <x v="2"/>
  </r>
  <r>
    <d v="2026-06-03T00:00:00"/>
    <x v="80"/>
    <s v="PM"/>
    <x v="2"/>
  </r>
  <r>
    <d v="2026-06-03T00:00:00"/>
    <x v="81"/>
    <s v="PM"/>
    <x v="2"/>
  </r>
  <r>
    <d v="2026-06-03T00:00:00"/>
    <x v="62"/>
    <s v="PM"/>
    <x v="2"/>
  </r>
  <r>
    <d v="2026-06-03T00:00:00"/>
    <x v="83"/>
    <s v="PM"/>
    <x v="2"/>
  </r>
  <r>
    <d v="2026-06-03T00:00:00"/>
    <x v="63"/>
    <s v="PM"/>
    <x v="2"/>
  </r>
  <r>
    <d v="2026-06-03T00:00:00"/>
    <x v="64"/>
    <s v="PM"/>
    <x v="2"/>
  </r>
  <r>
    <d v="2026-06-03T00:00:00"/>
    <x v="65"/>
    <s v="PM"/>
    <x v="2"/>
  </r>
  <r>
    <d v="2026-06-03T00:00:00"/>
    <x v="84"/>
    <s v="PM"/>
    <x v="2"/>
  </r>
  <r>
    <d v="2026-06-03T00:00:00"/>
    <x v="85"/>
    <s v="PM"/>
    <x v="2"/>
  </r>
  <r>
    <d v="2026-06-03T00:00:00"/>
    <x v="86"/>
    <s v="PM"/>
    <x v="2"/>
  </r>
  <r>
    <d v="2026-06-03T00:00:00"/>
    <x v="66"/>
    <s v="PM"/>
    <x v="2"/>
  </r>
  <r>
    <d v="2026-06-03T00:00:00"/>
    <x v="89"/>
    <s v="PM"/>
    <x v="2"/>
  </r>
  <r>
    <d v="2026-06-03T00:00:00"/>
    <x v="91"/>
    <s v="PM"/>
    <x v="2"/>
  </r>
  <r>
    <d v="2026-06-03T00:00:00"/>
    <x v="67"/>
    <s v="PM"/>
    <x v="2"/>
  </r>
  <r>
    <d v="2026-06-03T00:00:00"/>
    <x v="70"/>
    <s v="PM"/>
    <x v="2"/>
  </r>
  <r>
    <d v="2026-06-03T00:00:00"/>
    <x v="95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19"/>
    <s v="AM"/>
    <x v="4"/>
  </r>
  <r>
    <d v="2026-06-03T00:00:00"/>
    <x v="120"/>
    <s v="AM"/>
    <x v="5"/>
  </r>
  <r>
    <d v="2026-06-03T00:00:00"/>
    <x v="113"/>
    <s v="AM"/>
    <x v="6"/>
  </r>
  <r>
    <d v="2026-06-03T00:00:00"/>
    <x v="116"/>
    <s v="AM"/>
    <x v="6"/>
  </r>
  <r>
    <d v="2026-06-03T00:00:00"/>
    <x v="122"/>
    <s v="AM"/>
    <x v="6"/>
  </r>
  <r>
    <d v="2026-06-03T00:00:00"/>
    <x v="102"/>
    <s v="AM"/>
    <x v="6"/>
  </r>
  <r>
    <d v="2026-06-03T00:00:00"/>
    <x v="125"/>
    <s v="DAY"/>
    <x v="6"/>
  </r>
  <r>
    <d v="2026-06-03T00:00:00"/>
    <x v="126"/>
    <s v="AM"/>
    <x v="6"/>
  </r>
  <r>
    <d v="2026-06-03T00:00:00"/>
    <x v="104"/>
    <s v="AM"/>
    <x v="7"/>
  </r>
  <r>
    <d v="2026-06-03T00:00:00"/>
    <x v="110"/>
    <s v="AM"/>
    <x v="7"/>
  </r>
  <r>
    <d v="2026-06-03T00:00:00"/>
    <x v="105"/>
    <s v="AM"/>
    <x v="7"/>
  </r>
  <r>
    <d v="2026-06-03T00:00:00"/>
    <x v="111"/>
    <s v="AM"/>
    <x v="7"/>
  </r>
  <r>
    <d v="2026-06-03T00:00:00"/>
    <x v="103"/>
    <s v="AM"/>
    <x v="7"/>
  </r>
  <r>
    <d v="2026-06-03T00:00:00"/>
    <x v="112"/>
    <s v="DAY"/>
    <x v="7"/>
  </r>
  <r>
    <d v="2026-06-03T00:00:00"/>
    <x v="106"/>
    <s v="AM"/>
    <x v="7"/>
  </r>
  <r>
    <d v="2026-06-03T00:00:00"/>
    <x v="114"/>
    <s v="DAY"/>
    <x v="7"/>
  </r>
  <r>
    <d v="2026-06-03T00:00:00"/>
    <x v="115"/>
    <s v="AM"/>
    <x v="7"/>
  </r>
  <r>
    <d v="2026-06-03T00:00:00"/>
    <x v="117"/>
    <s v="AM"/>
    <x v="7"/>
  </r>
  <r>
    <d v="2026-06-03T00:00:00"/>
    <x v="118"/>
    <s v="AM"/>
    <x v="7"/>
  </r>
  <r>
    <d v="2026-06-03T00:00:00"/>
    <x v="121"/>
    <s v="AM"/>
    <x v="7"/>
  </r>
  <r>
    <d v="2026-06-03T00:00:00"/>
    <x v="107"/>
    <s v="AM"/>
    <x v="7"/>
  </r>
  <r>
    <d v="2026-06-03T00:00:00"/>
    <x v="108"/>
    <s v="AM"/>
    <x v="7"/>
  </r>
  <r>
    <d v="2026-06-03T00:00:00"/>
    <x v="109"/>
    <s v="AM"/>
    <x v="7"/>
  </r>
  <r>
    <d v="2026-06-03T00:00:00"/>
    <x v="123"/>
    <s v="AM"/>
    <x v="7"/>
  </r>
  <r>
    <d v="2026-06-03T00:00:00"/>
    <x v="124"/>
    <s v="AM"/>
    <x v="7"/>
  </r>
  <r>
    <d v="2026-06-03T00:00:00"/>
    <x v="127"/>
    <s v="AM"/>
    <x v="7"/>
  </r>
  <r>
    <d v="2026-06-03T00:00:00"/>
    <x v="128"/>
    <s v="AM"/>
    <x v="7"/>
  </r>
  <r>
    <d v="2026-06-03T00:00:00"/>
    <x v="129"/>
    <s v="AM"/>
    <x v="7"/>
  </r>
  <r>
    <d v="2026-06-03T00:00:00"/>
    <x v="130"/>
    <s v="AM"/>
    <x v="7"/>
  </r>
  <r>
    <d v="2026-06-03T00:00:00"/>
    <x v="153"/>
    <s v="PM"/>
    <x v="4"/>
  </r>
  <r>
    <d v="2026-06-03T00:00:00"/>
    <x v="135"/>
    <s v="PM"/>
    <x v="5"/>
  </r>
  <r>
    <d v="2026-06-03T00:00:00"/>
    <x v="143"/>
    <s v="PM"/>
    <x v="6"/>
  </r>
  <r>
    <d v="2026-06-03T00:00:00"/>
    <x v="132"/>
    <s v="PM"/>
    <x v="6"/>
  </r>
  <r>
    <d v="2026-06-03T00:00:00"/>
    <x v="145"/>
    <s v="PM"/>
    <x v="6"/>
  </r>
  <r>
    <d v="2026-06-03T00:00:00"/>
    <x v="146"/>
    <s v="PM"/>
    <x v="6"/>
  </r>
  <r>
    <d v="2026-06-03T00:00:00"/>
    <x v="148"/>
    <s v="PM"/>
    <x v="6"/>
  </r>
  <r>
    <d v="2026-06-03T00:00:00"/>
    <x v="150"/>
    <s v="PM"/>
    <x v="6"/>
  </r>
  <r>
    <d v="2026-06-03T00:00:00"/>
    <x v="154"/>
    <s v="PM"/>
    <x v="6"/>
  </r>
  <r>
    <d v="2026-06-03T00:00:00"/>
    <x v="155"/>
    <s v="PM"/>
    <x v="6"/>
  </r>
  <r>
    <d v="2026-06-03T00:00:00"/>
    <x v="131"/>
    <s v="PM"/>
    <x v="6"/>
  </r>
  <r>
    <d v="2026-06-03T00:00:00"/>
    <x v="133"/>
    <s v="PM"/>
    <x v="7"/>
  </r>
  <r>
    <d v="2026-06-03T00:00:00"/>
    <x v="134"/>
    <s v="PM"/>
    <x v="7"/>
  </r>
  <r>
    <d v="2026-06-03T00:00:00"/>
    <x v="142"/>
    <s v="PM"/>
    <x v="7"/>
  </r>
  <r>
    <d v="2026-06-03T00:00:00"/>
    <x v="136"/>
    <s v="PM"/>
    <x v="7"/>
  </r>
  <r>
    <d v="2026-06-03T00:00:00"/>
    <x v="144"/>
    <s v="PM"/>
    <x v="7"/>
  </r>
  <r>
    <d v="2026-06-03T00:00:00"/>
    <x v="137"/>
    <s v="PM"/>
    <x v="7"/>
  </r>
  <r>
    <d v="2026-06-03T00:00:00"/>
    <x v="138"/>
    <s v="PM"/>
    <x v="7"/>
  </r>
  <r>
    <d v="2026-06-03T00:00:00"/>
    <x v="147"/>
    <s v="PM"/>
    <x v="7"/>
  </r>
  <r>
    <d v="2026-06-03T00:00:00"/>
    <x v="139"/>
    <s v="PM"/>
    <x v="7"/>
  </r>
  <r>
    <d v="2026-06-03T00:00:00"/>
    <x v="149"/>
    <s v="PM"/>
    <x v="7"/>
  </r>
  <r>
    <d v="2026-06-03T00:00:00"/>
    <x v="151"/>
    <s v="PM"/>
    <x v="7"/>
  </r>
  <r>
    <d v="2026-06-03T00:00:00"/>
    <x v="152"/>
    <s v="PM"/>
    <x v="7"/>
  </r>
  <r>
    <d v="2026-06-03T00:00:00"/>
    <x v="140"/>
    <s v="PM"/>
    <x v="7"/>
  </r>
  <r>
    <d v="2026-06-03T00:00:00"/>
    <x v="141"/>
    <s v="PM"/>
    <x v="7"/>
  </r>
  <r>
    <d v="2026-06-03T00:00:00"/>
    <x v="156"/>
    <s v="PM"/>
    <x v="7"/>
  </r>
  <r>
    <d v="2026-06-03T00:00:00"/>
    <x v="17"/>
    <s v="AM"/>
    <x v="0"/>
  </r>
  <r>
    <d v="2026-06-03T00:00:00"/>
    <x v="19"/>
    <s v="AM"/>
    <x v="0"/>
  </r>
  <r>
    <d v="2026-06-03T00:00:00"/>
    <x v="22"/>
    <s v="AM"/>
    <x v="0"/>
  </r>
  <r>
    <d v="2026-06-03T00:00:00"/>
    <x v="23"/>
    <s v="AM"/>
    <x v="0"/>
  </r>
  <r>
    <d v="2026-06-03T00:00:00"/>
    <x v="11"/>
    <s v="AM"/>
    <x v="0"/>
  </r>
  <r>
    <d v="2026-06-03T00:00:00"/>
    <x v="28"/>
    <s v="AM"/>
    <x v="0"/>
  </r>
  <r>
    <d v="2026-06-03T00:00:00"/>
    <x v="34"/>
    <s v="AM"/>
    <x v="0"/>
  </r>
  <r>
    <d v="2026-06-03T00:00:00"/>
    <x v="13"/>
    <s v="AM"/>
    <x v="0"/>
  </r>
  <r>
    <d v="2026-06-03T00:00:00"/>
    <x v="47"/>
    <s v="AM"/>
    <x v="0"/>
  </r>
  <r>
    <d v="2026-06-03T00:00:00"/>
    <x v="48"/>
    <s v="MI-TEMPS"/>
    <x v="0"/>
  </r>
  <r>
    <d v="2026-06-03T00:00:00"/>
    <x v="35"/>
    <s v="AM"/>
    <x v="1"/>
  </r>
  <r>
    <d v="2026-06-03T00:00:00"/>
    <x v="39"/>
    <s v="AM"/>
    <x v="1"/>
  </r>
  <r>
    <d v="2026-06-03T00:00:00"/>
    <x v="43"/>
    <s v="AM"/>
    <x v="1"/>
  </r>
  <r>
    <d v="2026-06-03T00:00:00"/>
    <x v="9"/>
    <s v="AM"/>
    <x v="1"/>
  </r>
  <r>
    <d v="2026-06-03T00:00:00"/>
    <x v="10"/>
    <s v="AM"/>
    <x v="2"/>
  </r>
  <r>
    <d v="2026-06-03T00:00:00"/>
    <x v="14"/>
    <s v="AM"/>
    <x v="2"/>
  </r>
  <r>
    <d v="2026-06-03T00:00:00"/>
    <x v="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8"/>
    <s v="AM"/>
    <x v="2"/>
  </r>
  <r>
    <d v="2026-06-03T00:00:00"/>
    <x v="20"/>
    <s v="AM"/>
    <x v="2"/>
  </r>
  <r>
    <d v="2026-06-03T00:00:00"/>
    <x v="21"/>
    <s v="AM"/>
    <x v="2"/>
  </r>
  <r>
    <d v="2026-06-03T00:00:00"/>
    <x v="1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27"/>
    <s v="MI-TEMPS"/>
    <x v="2"/>
  </r>
  <r>
    <d v="2026-06-03T00:00:00"/>
    <x v="29"/>
    <s v="AM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"/>
    <s v="AM"/>
    <x v="2"/>
  </r>
  <r>
    <d v="2026-06-03T00:00:00"/>
    <x v="12"/>
    <s v="AM"/>
    <x v="2"/>
  </r>
  <r>
    <d v="2026-06-03T00:00:00"/>
    <x v="36"/>
    <s v="AM"/>
    <x v="2"/>
  </r>
  <r>
    <d v="2026-06-03T00:00:00"/>
    <x v="37"/>
    <s v="DAY"/>
    <x v="2"/>
  </r>
  <r>
    <d v="2026-06-03T00:00:00"/>
    <x v="38"/>
    <s v="AM"/>
    <x v="2"/>
  </r>
  <r>
    <d v="2026-06-03T00:00:00"/>
    <x v="40"/>
    <s v="AM"/>
    <x v="2"/>
  </r>
  <r>
    <d v="2026-06-03T00:00:00"/>
    <x v="4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9"/>
    <s v="AM"/>
    <x v="2"/>
  </r>
  <r>
    <d v="2026-06-03T00:00:00"/>
    <x v="50"/>
    <s v="AM"/>
    <x v="2"/>
  </r>
  <r>
    <d v="2026-06-03T00:00:00"/>
    <x v="5"/>
    <s v="AM"/>
    <x v="2"/>
  </r>
  <r>
    <d v="2026-06-03T00:00:00"/>
    <x v="6"/>
    <s v="AM"/>
    <x v="2"/>
  </r>
  <r>
    <d v="2026-06-03T00:00:00"/>
    <x v="7"/>
    <s v="AM"/>
    <x v="2"/>
  </r>
  <r>
    <d v="2026-06-03T00:00:00"/>
    <x v="8"/>
    <s v="AM"/>
    <x v="2"/>
  </r>
  <r>
    <d v="2026-06-03T00:00:00"/>
    <x v="51"/>
    <s v="DAY"/>
    <x v="2"/>
  </r>
  <r>
    <d v="2026-06-03T00:00:00"/>
    <x v="52"/>
    <s v="AM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3"/>
    <s v="PM"/>
    <x v="0"/>
  </r>
  <r>
    <d v="2026-06-03T00:00:00"/>
    <x v="74"/>
    <s v="PM"/>
    <x v="0"/>
  </r>
  <r>
    <d v="2026-06-03T00:00:00"/>
    <x v="77"/>
    <s v="PM"/>
    <x v="0"/>
  </r>
  <r>
    <d v="2026-06-03T00:00:00"/>
    <x v="80"/>
    <s v="PM"/>
    <x v="0"/>
  </r>
  <r>
    <d v="2026-06-03T00:00:00"/>
    <x v="83"/>
    <s v="PM"/>
    <x v="0"/>
  </r>
  <r>
    <d v="2026-06-03T00:00:00"/>
    <x v="84"/>
    <s v="PM"/>
    <x v="0"/>
  </r>
  <r>
    <d v="2026-06-03T00:00:00"/>
    <x v="86"/>
    <s v="PM"/>
    <x v="0"/>
  </r>
  <r>
    <d v="2026-06-03T00:00:00"/>
    <x v="91"/>
    <s v="PM"/>
    <x v="0"/>
  </r>
  <r>
    <d v="2026-06-03T00:00:00"/>
    <x v="92"/>
    <s v="PM"/>
    <x v="0"/>
  </r>
  <r>
    <d v="2026-06-03T00:00:00"/>
    <x v="96"/>
    <s v="PM"/>
    <x v="0"/>
  </r>
  <r>
    <d v="2026-06-03T00:00:00"/>
    <x v="78"/>
    <s v="PM"/>
    <x v="1"/>
  </r>
  <r>
    <d v="2026-06-03T00:00:00"/>
    <x v="81"/>
    <s v="PM"/>
    <x v="1"/>
  </r>
  <r>
    <d v="2026-06-03T00:00:00"/>
    <x v="62"/>
    <s v="PM"/>
    <x v="1"/>
  </r>
  <r>
    <d v="2026-06-03T00:00:00"/>
    <x v="87"/>
    <s v="PM"/>
    <x v="1"/>
  </r>
  <r>
    <d v="2026-06-03T00:00:00"/>
    <x v="59"/>
    <s v="PM"/>
    <x v="2"/>
  </r>
  <r>
    <d v="2026-06-03T00:00:00"/>
    <x v="75"/>
    <s v="PM"/>
    <x v="2"/>
  </r>
  <r>
    <d v="2026-06-03T00:00:00"/>
    <x v="60"/>
    <s v="PM"/>
    <x v="2"/>
  </r>
  <r>
    <d v="2026-06-03T00:00:00"/>
    <x v="76"/>
    <s v="PM"/>
    <x v="2"/>
  </r>
  <r>
    <d v="2026-06-03T00:00:00"/>
    <x v="79"/>
    <s v="PM"/>
    <x v="2"/>
  </r>
  <r>
    <d v="2026-06-03T00:00:00"/>
    <x v="61"/>
    <s v="PM"/>
    <x v="2"/>
  </r>
  <r>
    <d v="2026-06-03T00:00:00"/>
    <x v="82"/>
    <s v="PM"/>
    <x v="2"/>
  </r>
  <r>
    <d v="2026-06-03T00:00:00"/>
    <x v="63"/>
    <s v="PM"/>
    <x v="2"/>
  </r>
  <r>
    <d v="2026-06-03T00:00:00"/>
    <x v="64"/>
    <s v="PM"/>
    <x v="2"/>
  </r>
  <r>
    <d v="2026-06-03T00:00:00"/>
    <x v="65"/>
    <s v="PM"/>
    <x v="2"/>
  </r>
  <r>
    <d v="2026-06-03T00:00:00"/>
    <x v="85"/>
    <s v="PM"/>
    <x v="2"/>
  </r>
  <r>
    <d v="2026-06-03T00:00:00"/>
    <x v="66"/>
    <s v="PM"/>
    <x v="2"/>
  </r>
  <r>
    <d v="2026-06-03T00:00:00"/>
    <x v="88"/>
    <s v="PM"/>
    <x v="2"/>
  </r>
  <r>
    <d v="2026-06-03T00:00:00"/>
    <x v="89"/>
    <s v="PM"/>
    <x v="2"/>
  </r>
  <r>
    <d v="2026-06-03T00:00:00"/>
    <x v="90"/>
    <s v="PM"/>
    <x v="2"/>
  </r>
  <r>
    <d v="2026-06-03T00:00:00"/>
    <x v="69"/>
    <s v="PM"/>
    <x v="2"/>
  </r>
  <r>
    <d v="2026-06-03T00:00:00"/>
    <x v="67"/>
    <s v="PM"/>
    <x v="2"/>
  </r>
  <r>
    <d v="2026-06-03T00:00:00"/>
    <x v="70"/>
    <s v="PM"/>
    <x v="2"/>
  </r>
  <r>
    <d v="2026-06-03T00:00:00"/>
    <x v="71"/>
    <s v="PM"/>
    <x v="2"/>
  </r>
  <r>
    <d v="2026-06-03T00:00:00"/>
    <x v="68"/>
    <s v="PM"/>
    <x v="2"/>
  </r>
  <r>
    <d v="2026-06-03T00:00:00"/>
    <x v="93"/>
    <s v="PM"/>
    <x v="2"/>
  </r>
  <r>
    <d v="2026-06-03T00:00:00"/>
    <x v="72"/>
    <s v="PM"/>
    <x v="2"/>
  </r>
  <r>
    <d v="2026-06-03T00:00:00"/>
    <x v="94"/>
    <s v="PM"/>
    <x v="2"/>
  </r>
  <r>
    <d v="2026-06-03T00:00:00"/>
    <x v="95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04"/>
    <s v="AM"/>
    <x v="4"/>
  </r>
  <r>
    <d v="2026-06-03T00:00:00"/>
    <x v="111"/>
    <s v="AM"/>
    <x v="5"/>
  </r>
  <r>
    <d v="2026-06-03T00:00:00"/>
    <x v="118"/>
    <s v="AM"/>
    <x v="6"/>
  </r>
  <r>
    <d v="2026-06-03T00:00:00"/>
    <x v="119"/>
    <s v="AM"/>
    <x v="6"/>
  </r>
  <r>
    <d v="2026-06-03T00:00:00"/>
    <x v="120"/>
    <s v="AM"/>
    <x v="6"/>
  </r>
  <r>
    <d v="2026-06-03T00:00:00"/>
    <x v="127"/>
    <s v="AM"/>
    <x v="6"/>
  </r>
  <r>
    <d v="2026-06-03T00:00:00"/>
    <x v="129"/>
    <s v="AM"/>
    <x v="6"/>
  </r>
  <r>
    <d v="2026-06-03T00:00:00"/>
    <x v="130"/>
    <s v="AM"/>
    <x v="6"/>
  </r>
  <r>
    <d v="2026-06-03T00:00:00"/>
    <x v="110"/>
    <s v="AM"/>
    <x v="7"/>
  </r>
  <r>
    <d v="2026-06-03T00:00:00"/>
    <x v="105"/>
    <s v="AM"/>
    <x v="7"/>
  </r>
  <r>
    <d v="2026-06-03T00:00:00"/>
    <x v="103"/>
    <s v="AM"/>
    <x v="7"/>
  </r>
  <r>
    <d v="2026-06-03T00:00:00"/>
    <x v="112"/>
    <s v="DAY"/>
    <x v="7"/>
  </r>
  <r>
    <d v="2026-06-03T00:00:00"/>
    <x v="106"/>
    <s v="AM"/>
    <x v="7"/>
  </r>
  <r>
    <d v="2026-06-03T00:00:00"/>
    <x v="113"/>
    <s v="AM"/>
    <x v="7"/>
  </r>
  <r>
    <d v="2026-06-03T00:00:00"/>
    <x v="114"/>
    <s v="DAY"/>
    <x v="7"/>
  </r>
  <r>
    <d v="2026-06-03T00:00:00"/>
    <x v="115"/>
    <s v="AM"/>
    <x v="7"/>
  </r>
  <r>
    <d v="2026-06-03T00:00:00"/>
    <x v="116"/>
    <s v="AM"/>
    <x v="7"/>
  </r>
  <r>
    <d v="2026-06-03T00:00:00"/>
    <x v="117"/>
    <s v="AM"/>
    <x v="7"/>
  </r>
  <r>
    <d v="2026-06-03T00:00:00"/>
    <x v="121"/>
    <s v="AM"/>
    <x v="7"/>
  </r>
  <r>
    <d v="2026-06-03T00:00:00"/>
    <x v="107"/>
    <s v="AM"/>
    <x v="7"/>
  </r>
  <r>
    <d v="2026-06-03T00:00:00"/>
    <x v="122"/>
    <s v="AM"/>
    <x v="7"/>
  </r>
  <r>
    <d v="2026-06-03T00:00:00"/>
    <x v="108"/>
    <s v="AM"/>
    <x v="7"/>
  </r>
  <r>
    <d v="2026-06-03T00:00:00"/>
    <x v="102"/>
    <s v="AM"/>
    <x v="7"/>
  </r>
  <r>
    <d v="2026-06-03T00:00:00"/>
    <x v="109"/>
    <s v="AM"/>
    <x v="7"/>
  </r>
  <r>
    <d v="2026-06-03T00:00:00"/>
    <x v="123"/>
    <s v="AM"/>
    <x v="7"/>
  </r>
  <r>
    <d v="2026-06-03T00:00:00"/>
    <x v="124"/>
    <s v="AM"/>
    <x v="7"/>
  </r>
  <r>
    <d v="2026-06-03T00:00:00"/>
    <x v="125"/>
    <s v="DAY"/>
    <x v="7"/>
  </r>
  <r>
    <d v="2026-06-03T00:00:00"/>
    <x v="126"/>
    <s v="AM"/>
    <x v="7"/>
  </r>
  <r>
    <d v="2026-06-03T00:00:00"/>
    <x v="128"/>
    <s v="AM"/>
    <x v="7"/>
  </r>
  <r>
    <d v="2026-06-03T00:00:00"/>
    <x v="133"/>
    <s v="PM"/>
    <x v="4"/>
  </r>
  <r>
    <d v="2026-06-03T00:00:00"/>
    <x v="140"/>
    <s v="PM"/>
    <x v="5"/>
  </r>
  <r>
    <d v="2026-06-03T00:00:00"/>
    <x v="142"/>
    <s v="PM"/>
    <x v="6"/>
  </r>
  <r>
    <d v="2026-06-03T00:00:00"/>
    <x v="144"/>
    <s v="PM"/>
    <x v="6"/>
  </r>
  <r>
    <d v="2026-06-03T00:00:00"/>
    <x v="145"/>
    <s v="PM"/>
    <x v="6"/>
  </r>
  <r>
    <d v="2026-06-03T00:00:00"/>
    <x v="147"/>
    <s v="PM"/>
    <x v="6"/>
  </r>
  <r>
    <d v="2026-06-03T00:00:00"/>
    <x v="149"/>
    <s v="PM"/>
    <x v="6"/>
  </r>
  <r>
    <d v="2026-06-03T00:00:00"/>
    <x v="151"/>
    <s v="PM"/>
    <x v="6"/>
  </r>
  <r>
    <d v="2026-06-03T00:00:00"/>
    <x v="152"/>
    <s v="PM"/>
    <x v="6"/>
  </r>
  <r>
    <d v="2026-06-03T00:00:00"/>
    <x v="153"/>
    <s v="PM"/>
    <x v="6"/>
  </r>
  <r>
    <d v="2026-06-03T00:00:00"/>
    <x v="156"/>
    <s v="PM"/>
    <x v="6"/>
  </r>
  <r>
    <d v="2026-06-03T00:00:00"/>
    <x v="134"/>
    <s v="PM"/>
    <x v="7"/>
  </r>
  <r>
    <d v="2026-06-03T00:00:00"/>
    <x v="135"/>
    <s v="PM"/>
    <x v="7"/>
  </r>
  <r>
    <d v="2026-06-03T00:00:00"/>
    <x v="143"/>
    <s v="PM"/>
    <x v="7"/>
  </r>
  <r>
    <d v="2026-06-03T00:00:00"/>
    <x v="132"/>
    <s v="PM"/>
    <x v="7"/>
  </r>
  <r>
    <d v="2026-06-03T00:00:00"/>
    <x v="136"/>
    <s v="PM"/>
    <x v="7"/>
  </r>
  <r>
    <d v="2026-06-03T00:00:00"/>
    <x v="137"/>
    <s v="PM"/>
    <x v="7"/>
  </r>
  <r>
    <d v="2026-06-03T00:00:00"/>
    <x v="146"/>
    <s v="PM"/>
    <x v="7"/>
  </r>
  <r>
    <d v="2026-06-03T00:00:00"/>
    <x v="138"/>
    <s v="PM"/>
    <x v="7"/>
  </r>
  <r>
    <d v="2026-06-03T00:00:00"/>
    <x v="148"/>
    <s v="PM"/>
    <x v="7"/>
  </r>
  <r>
    <d v="2026-06-03T00:00:00"/>
    <x v="139"/>
    <s v="PM"/>
    <x v="7"/>
  </r>
  <r>
    <d v="2026-06-03T00:00:00"/>
    <x v="150"/>
    <s v="PM"/>
    <x v="7"/>
  </r>
  <r>
    <d v="2026-06-03T00:00:00"/>
    <x v="154"/>
    <s v="PM"/>
    <x v="7"/>
  </r>
  <r>
    <d v="2026-06-03T00:00:00"/>
    <x v="141"/>
    <s v="PM"/>
    <x v="7"/>
  </r>
  <r>
    <d v="2026-06-03T00:00:00"/>
    <x v="155"/>
    <s v="PM"/>
    <x v="7"/>
  </r>
  <r>
    <d v="2026-06-03T00:00:00"/>
    <x v="131"/>
    <s v="PM"/>
    <x v="7"/>
  </r>
  <r>
    <d v="2026-06-03T00:00:00"/>
    <x v="10"/>
    <s v="AM"/>
    <x v="0"/>
  </r>
  <r>
    <d v="2026-06-03T00:00:00"/>
    <x v="14"/>
    <s v="AM"/>
    <x v="0"/>
  </r>
  <r>
    <d v="2026-06-03T00:00:00"/>
    <x v="29"/>
    <s v="AM"/>
    <x v="0"/>
  </r>
  <r>
    <d v="2026-06-03T00:00:00"/>
    <x v="12"/>
    <s v="AM"/>
    <x v="0"/>
  </r>
  <r>
    <d v="2026-06-03T00:00:00"/>
    <x v="35"/>
    <s v="AM"/>
    <x v="0"/>
  </r>
  <r>
    <d v="2026-06-03T00:00:00"/>
    <x v="36"/>
    <s v="AM"/>
    <x v="0"/>
  </r>
  <r>
    <d v="2026-06-03T00:00:00"/>
    <x v="37"/>
    <s v="DAY"/>
    <x v="0"/>
  </r>
  <r>
    <d v="2026-06-03T00:00:00"/>
    <x v="38"/>
    <s v="AM"/>
    <x v="0"/>
  </r>
  <r>
    <d v="2026-06-03T00:00:00"/>
    <x v="41"/>
    <s v="AM"/>
    <x v="0"/>
  </r>
  <r>
    <d v="2026-06-03T00:00:00"/>
    <x v="50"/>
    <s v="AM"/>
    <x v="0"/>
  </r>
  <r>
    <d v="2026-06-03T00:00:00"/>
    <x v="17"/>
    <s v="AM"/>
    <x v="1"/>
  </r>
  <r>
    <d v="2026-06-03T00:00:00"/>
    <x v="33"/>
    <s v="AM"/>
    <x v="1"/>
  </r>
  <r>
    <d v="2026-06-03T00:00:00"/>
    <x v="3"/>
    <s v="AM"/>
    <x v="1"/>
  </r>
  <r>
    <d v="2026-06-03T00:00:00"/>
    <x v="6"/>
    <s v="AM"/>
    <x v="1"/>
  </r>
  <r>
    <d v="2026-06-03T00:00:00"/>
    <x v="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8"/>
    <s v="AM"/>
    <x v="2"/>
  </r>
  <r>
    <d v="2026-06-03T00:00:00"/>
    <x v="19"/>
    <s v="AM"/>
    <x v="2"/>
  </r>
  <r>
    <d v="2026-06-03T00:00:00"/>
    <x v="20"/>
    <s v="AM"/>
    <x v="2"/>
  </r>
  <r>
    <d v="2026-06-03T00:00:00"/>
    <x v="21"/>
    <s v="AM"/>
    <x v="2"/>
  </r>
  <r>
    <d v="2026-06-03T00:00:00"/>
    <x v="22"/>
    <s v="AM"/>
    <x v="2"/>
  </r>
  <r>
    <d v="2026-06-03T00:00:00"/>
    <x v="1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27"/>
    <s v="MI-TEMPS"/>
    <x v="2"/>
  </r>
  <r>
    <d v="2026-06-03T00:00:00"/>
    <x v="28"/>
    <s v="AM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34"/>
    <s v="AM"/>
    <x v="2"/>
  </r>
  <r>
    <d v="2026-06-03T00:00:00"/>
    <x v="39"/>
    <s v="AM"/>
    <x v="2"/>
  </r>
  <r>
    <d v="2026-06-03T00:00:00"/>
    <x v="40"/>
    <s v="AM"/>
    <x v="2"/>
  </r>
  <r>
    <d v="2026-06-03T00:00:00"/>
    <x v="13"/>
    <s v="AM"/>
    <x v="2"/>
  </r>
  <r>
    <d v="2026-06-03T00:00:00"/>
    <x v="4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7"/>
    <s v="AM"/>
    <x v="2"/>
  </r>
  <r>
    <d v="2026-06-03T00:00:00"/>
    <x v="48"/>
    <s v="MI-TEMPS"/>
    <x v="2"/>
  </r>
  <r>
    <d v="2026-06-03T00:00:00"/>
    <x v="49"/>
    <s v="AM"/>
    <x v="2"/>
  </r>
  <r>
    <d v="2026-06-03T00:00:00"/>
    <x v="5"/>
    <s v="AM"/>
    <x v="2"/>
  </r>
  <r>
    <d v="2026-06-03T00:00:00"/>
    <x v="7"/>
    <s v="AM"/>
    <x v="2"/>
  </r>
  <r>
    <d v="2026-06-03T00:00:00"/>
    <x v="8"/>
    <s v="AM"/>
    <x v="2"/>
  </r>
  <r>
    <d v="2026-06-03T00:00:00"/>
    <x v="9"/>
    <s v="AM"/>
    <x v="2"/>
  </r>
  <r>
    <d v="2026-06-03T00:00:00"/>
    <x v="51"/>
    <s v="DAY"/>
    <x v="2"/>
  </r>
  <r>
    <d v="2026-06-03T00:00:00"/>
    <x v="52"/>
    <s v="AM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6"/>
    <s v="PM"/>
    <x v="0"/>
  </r>
  <r>
    <d v="2026-06-03T00:00:00"/>
    <x v="79"/>
    <s v="PM"/>
    <x v="0"/>
  </r>
  <r>
    <d v="2026-06-03T00:00:00"/>
    <x v="81"/>
    <s v="PM"/>
    <x v="0"/>
  </r>
  <r>
    <d v="2026-06-03T00:00:00"/>
    <x v="63"/>
    <s v="PM"/>
    <x v="0"/>
  </r>
  <r>
    <d v="2026-06-03T00:00:00"/>
    <x v="85"/>
    <s v="PM"/>
    <x v="0"/>
  </r>
  <r>
    <d v="2026-06-03T00:00:00"/>
    <x v="88"/>
    <s v="PM"/>
    <x v="0"/>
  </r>
  <r>
    <d v="2026-06-03T00:00:00"/>
    <x v="89"/>
    <s v="PM"/>
    <x v="0"/>
  </r>
  <r>
    <d v="2026-06-03T00:00:00"/>
    <x v="90"/>
    <s v="PM"/>
    <x v="0"/>
  </r>
  <r>
    <d v="2026-06-03T00:00:00"/>
    <x v="70"/>
    <s v="PM"/>
    <x v="0"/>
  </r>
  <r>
    <d v="2026-06-03T00:00:00"/>
    <x v="95"/>
    <s v="PM"/>
    <x v="0"/>
  </r>
  <r>
    <d v="2026-06-03T00:00:00"/>
    <x v="59"/>
    <s v="PM"/>
    <x v="1"/>
  </r>
  <r>
    <d v="2026-06-03T00:00:00"/>
    <x v="83"/>
    <s v="PM"/>
    <x v="1"/>
  </r>
  <r>
    <d v="2026-06-03T00:00:00"/>
    <x v="66"/>
    <s v="PM"/>
    <x v="1"/>
  </r>
  <r>
    <d v="2026-06-03T00:00:00"/>
    <x v="93"/>
    <s v="PM"/>
    <x v="1"/>
  </r>
  <r>
    <d v="2026-06-03T00:00:00"/>
    <x v="73"/>
    <s v="PM"/>
    <x v="2"/>
  </r>
  <r>
    <d v="2026-06-03T00:00:00"/>
    <x v="74"/>
    <s v="PM"/>
    <x v="2"/>
  </r>
  <r>
    <d v="2026-06-03T00:00:00"/>
    <x v="75"/>
    <s v="PM"/>
    <x v="2"/>
  </r>
  <r>
    <d v="2026-06-03T00:00:00"/>
    <x v="60"/>
    <s v="PM"/>
    <x v="2"/>
  </r>
  <r>
    <d v="2026-06-03T00:00:00"/>
    <x v="77"/>
    <s v="PM"/>
    <x v="2"/>
  </r>
  <r>
    <d v="2026-06-03T00:00:00"/>
    <x v="78"/>
    <s v="PM"/>
    <x v="2"/>
  </r>
  <r>
    <d v="2026-06-03T00:00:00"/>
    <x v="61"/>
    <s v="PM"/>
    <x v="2"/>
  </r>
  <r>
    <d v="2026-06-03T00:00:00"/>
    <x v="80"/>
    <s v="PM"/>
    <x v="2"/>
  </r>
  <r>
    <d v="2026-06-03T00:00:00"/>
    <x v="62"/>
    <s v="PM"/>
    <x v="2"/>
  </r>
  <r>
    <d v="2026-06-03T00:00:00"/>
    <x v="82"/>
    <s v="PM"/>
    <x v="2"/>
  </r>
  <r>
    <d v="2026-06-03T00:00:00"/>
    <x v="64"/>
    <s v="PM"/>
    <x v="2"/>
  </r>
  <r>
    <d v="2026-06-03T00:00:00"/>
    <x v="65"/>
    <s v="PM"/>
    <x v="2"/>
  </r>
  <r>
    <d v="2026-06-03T00:00:00"/>
    <x v="84"/>
    <s v="PM"/>
    <x v="2"/>
  </r>
  <r>
    <d v="2026-06-03T00:00:00"/>
    <x v="86"/>
    <s v="PM"/>
    <x v="2"/>
  </r>
  <r>
    <d v="2026-06-03T00:00:00"/>
    <x v="87"/>
    <s v="PM"/>
    <x v="2"/>
  </r>
  <r>
    <d v="2026-06-03T00:00:00"/>
    <x v="69"/>
    <s v="PM"/>
    <x v="2"/>
  </r>
  <r>
    <d v="2026-06-03T00:00:00"/>
    <x v="91"/>
    <s v="PM"/>
    <x v="2"/>
  </r>
  <r>
    <d v="2026-06-03T00:00:00"/>
    <x v="67"/>
    <s v="PM"/>
    <x v="2"/>
  </r>
  <r>
    <d v="2026-06-03T00:00:00"/>
    <x v="71"/>
    <s v="PM"/>
    <x v="2"/>
  </r>
  <r>
    <d v="2026-06-03T00:00:00"/>
    <x v="68"/>
    <s v="PM"/>
    <x v="2"/>
  </r>
  <r>
    <d v="2026-06-03T00:00:00"/>
    <x v="92"/>
    <s v="PM"/>
    <x v="2"/>
  </r>
  <r>
    <d v="2026-06-03T00:00:00"/>
    <x v="72"/>
    <s v="PM"/>
    <x v="2"/>
  </r>
  <r>
    <d v="2026-06-03T00:00:00"/>
    <x v="94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03"/>
    <s v="AM"/>
    <x v="4"/>
  </r>
  <r>
    <d v="2026-06-03T00:00:00"/>
    <x v="108"/>
    <s v="AM"/>
    <x v="5"/>
  </r>
  <r>
    <d v="2026-06-03T00:00:00"/>
    <x v="110"/>
    <s v="AM"/>
    <x v="6"/>
  </r>
  <r>
    <d v="2026-06-03T00:00:00"/>
    <x v="111"/>
    <s v="AM"/>
    <x v="6"/>
  </r>
  <r>
    <d v="2026-06-03T00:00:00"/>
    <x v="114"/>
    <s v="DAY"/>
    <x v="6"/>
  </r>
  <r>
    <d v="2026-06-03T00:00:00"/>
    <x v="115"/>
    <s v="AM"/>
    <x v="6"/>
  </r>
  <r>
    <d v="2026-06-03T00:00:00"/>
    <x v="123"/>
    <s v="AM"/>
    <x v="6"/>
  </r>
  <r>
    <d v="2026-06-03T00:00:00"/>
    <x v="128"/>
    <s v="AM"/>
    <x v="6"/>
  </r>
  <r>
    <d v="2026-06-03T00:00:00"/>
    <x v="104"/>
    <s v="AM"/>
    <x v="7"/>
  </r>
  <r>
    <d v="2026-06-03T00:00:00"/>
    <x v="105"/>
    <s v="AM"/>
    <x v="7"/>
  </r>
  <r>
    <d v="2026-06-03T00:00:00"/>
    <x v="112"/>
    <s v="DAY"/>
    <x v="7"/>
  </r>
  <r>
    <d v="2026-06-03T00:00:00"/>
    <x v="106"/>
    <s v="AM"/>
    <x v="7"/>
  </r>
  <r>
    <d v="2026-06-03T00:00:00"/>
    <x v="113"/>
    <s v="AM"/>
    <x v="7"/>
  </r>
  <r>
    <d v="2026-06-03T00:00:00"/>
    <x v="116"/>
    <s v="AM"/>
    <x v="7"/>
  </r>
  <r>
    <d v="2026-06-03T00:00:00"/>
    <x v="117"/>
    <s v="AM"/>
    <x v="7"/>
  </r>
  <r>
    <d v="2026-06-03T00:00:00"/>
    <x v="118"/>
    <s v="AM"/>
    <x v="7"/>
  </r>
  <r>
    <d v="2026-06-03T00:00:00"/>
    <x v="119"/>
    <s v="AM"/>
    <x v="7"/>
  </r>
  <r>
    <d v="2026-06-03T00:00:00"/>
    <x v="120"/>
    <s v="AM"/>
    <x v="7"/>
  </r>
  <r>
    <d v="2026-06-03T00:00:00"/>
    <x v="121"/>
    <s v="AM"/>
    <x v="7"/>
  </r>
  <r>
    <d v="2026-06-03T00:00:00"/>
    <x v="107"/>
    <s v="AM"/>
    <x v="7"/>
  </r>
  <r>
    <d v="2026-06-03T00:00:00"/>
    <x v="122"/>
    <s v="AM"/>
    <x v="7"/>
  </r>
  <r>
    <d v="2026-06-03T00:00:00"/>
    <x v="102"/>
    <s v="AM"/>
    <x v="7"/>
  </r>
  <r>
    <d v="2026-06-03T00:00:00"/>
    <x v="109"/>
    <s v="AM"/>
    <x v="7"/>
  </r>
  <r>
    <d v="2026-06-03T00:00:00"/>
    <x v="124"/>
    <s v="AM"/>
    <x v="7"/>
  </r>
  <r>
    <d v="2026-06-03T00:00:00"/>
    <x v="125"/>
    <s v="DAY"/>
    <x v="7"/>
  </r>
  <r>
    <d v="2026-06-03T00:00:00"/>
    <x v="126"/>
    <s v="AM"/>
    <x v="7"/>
  </r>
  <r>
    <d v="2026-06-03T00:00:00"/>
    <x v="127"/>
    <s v="AM"/>
    <x v="7"/>
  </r>
  <r>
    <d v="2026-06-03T00:00:00"/>
    <x v="129"/>
    <s v="AM"/>
    <x v="7"/>
  </r>
  <r>
    <d v="2026-06-03T00:00:00"/>
    <x v="130"/>
    <s v="AM"/>
    <x v="7"/>
  </r>
  <r>
    <d v="2026-06-03T00:00:00"/>
    <x v="155"/>
    <s v="PM"/>
    <x v="4"/>
  </r>
  <r>
    <d v="2026-06-03T00:00:00"/>
    <x v="152"/>
    <s v="PM"/>
    <x v="5"/>
  </r>
  <r>
    <d v="2026-06-03T00:00:00"/>
    <x v="133"/>
    <s v="PM"/>
    <x v="6"/>
  </r>
  <r>
    <d v="2026-06-03T00:00:00"/>
    <x v="134"/>
    <s v="PM"/>
    <x v="6"/>
  </r>
  <r>
    <d v="2026-06-03T00:00:00"/>
    <x v="135"/>
    <s v="PM"/>
    <x v="6"/>
  </r>
  <r>
    <d v="2026-06-03T00:00:00"/>
    <x v="142"/>
    <s v="PM"/>
    <x v="6"/>
  </r>
  <r>
    <d v="2026-06-03T00:00:00"/>
    <x v="143"/>
    <s v="PM"/>
    <x v="6"/>
  </r>
  <r>
    <d v="2026-06-03T00:00:00"/>
    <x v="146"/>
    <s v="PM"/>
    <x v="6"/>
  </r>
  <r>
    <d v="2026-06-03T00:00:00"/>
    <x v="147"/>
    <s v="PM"/>
    <x v="6"/>
  </r>
  <r>
    <d v="2026-06-03T00:00:00"/>
    <x v="140"/>
    <s v="PM"/>
    <x v="6"/>
  </r>
  <r>
    <d v="2026-06-03T00:00:00"/>
    <x v="131"/>
    <s v="PM"/>
    <x v="6"/>
  </r>
  <r>
    <d v="2026-06-03T00:00:00"/>
    <x v="132"/>
    <s v="PM"/>
    <x v="7"/>
  </r>
  <r>
    <d v="2026-06-03T00:00:00"/>
    <x v="136"/>
    <s v="PM"/>
    <x v="7"/>
  </r>
  <r>
    <d v="2026-06-03T00:00:00"/>
    <x v="144"/>
    <s v="PM"/>
    <x v="7"/>
  </r>
  <r>
    <d v="2026-06-03T00:00:00"/>
    <x v="145"/>
    <s v="PM"/>
    <x v="7"/>
  </r>
  <r>
    <d v="2026-06-03T00:00:00"/>
    <x v="137"/>
    <s v="PM"/>
    <x v="7"/>
  </r>
  <r>
    <d v="2026-06-03T00:00:00"/>
    <x v="138"/>
    <s v="PM"/>
    <x v="7"/>
  </r>
  <r>
    <d v="2026-06-03T00:00:00"/>
    <x v="148"/>
    <s v="PM"/>
    <x v="7"/>
  </r>
  <r>
    <d v="2026-06-03T00:00:00"/>
    <x v="139"/>
    <s v="PM"/>
    <x v="7"/>
  </r>
  <r>
    <d v="2026-06-03T00:00:00"/>
    <x v="149"/>
    <s v="PM"/>
    <x v="7"/>
  </r>
  <r>
    <d v="2026-06-03T00:00:00"/>
    <x v="150"/>
    <s v="PM"/>
    <x v="7"/>
  </r>
  <r>
    <d v="2026-06-03T00:00:00"/>
    <x v="151"/>
    <s v="PM"/>
    <x v="7"/>
  </r>
  <r>
    <d v="2026-06-03T00:00:00"/>
    <x v="153"/>
    <s v="PM"/>
    <x v="7"/>
  </r>
  <r>
    <d v="2026-06-03T00:00:00"/>
    <x v="154"/>
    <s v="PM"/>
    <x v="7"/>
  </r>
  <r>
    <d v="2026-06-03T00:00:00"/>
    <x v="141"/>
    <s v="PM"/>
    <x v="7"/>
  </r>
  <r>
    <d v="2026-06-03T00:00:00"/>
    <x v="156"/>
    <s v="PM"/>
    <x v="7"/>
  </r>
  <r>
    <d v="2026-06-03T00:00:00"/>
    <x v="15"/>
    <s v="AM"/>
    <x v="0"/>
  </r>
  <r>
    <d v="2026-06-03T00:00:00"/>
    <x v="1"/>
    <s v="AM"/>
    <x v="0"/>
  </r>
  <r>
    <d v="2026-06-03T00:00:00"/>
    <x v="32"/>
    <s v="MI-TEMPS"/>
    <x v="0"/>
  </r>
  <r>
    <d v="2026-06-03T00:00:00"/>
    <x v="33"/>
    <s v="AM"/>
    <x v="0"/>
  </r>
  <r>
    <d v="2026-06-03T00:00:00"/>
    <x v="3"/>
    <s v="AM"/>
    <x v="0"/>
  </r>
  <r>
    <d v="2026-06-03T00:00:00"/>
    <x v="40"/>
    <s v="AM"/>
    <x v="0"/>
  </r>
  <r>
    <d v="2026-06-03T00:00:00"/>
    <x v="4"/>
    <s v="AM"/>
    <x v="0"/>
  </r>
  <r>
    <d v="2026-06-03T00:00:00"/>
    <x v="43"/>
    <s v="AM"/>
    <x v="0"/>
  </r>
  <r>
    <d v="2026-06-03T00:00:00"/>
    <x v="46"/>
    <s v="MI-TEMPS"/>
    <x v="0"/>
  </r>
  <r>
    <d v="2026-06-03T00:00:00"/>
    <x v="50"/>
    <s v="AM"/>
    <x v="0"/>
  </r>
  <r>
    <d v="2026-06-03T00:00:00"/>
    <x v="14"/>
    <s v="AM"/>
    <x v="1"/>
  </r>
  <r>
    <d v="2026-06-03T00:00:00"/>
    <x v="0"/>
    <s v="AM"/>
    <x v="1"/>
  </r>
  <r>
    <d v="2026-06-03T00:00:00"/>
    <x v="18"/>
    <s v="AM"/>
    <x v="1"/>
  </r>
  <r>
    <d v="2026-06-03T00:00:00"/>
    <x v="41"/>
    <s v="AM"/>
    <x v="1"/>
  </r>
  <r>
    <d v="2026-06-03T00:00:00"/>
    <x v="10"/>
    <s v="AM"/>
    <x v="2"/>
  </r>
  <r>
    <d v="2026-06-03T00:00:00"/>
    <x v="16"/>
    <s v="DAY"/>
    <x v="2"/>
  </r>
  <r>
    <d v="2026-06-03T00:00:00"/>
    <x v="17"/>
    <s v="AM"/>
    <x v="2"/>
  </r>
  <r>
    <d v="2026-06-03T00:00:00"/>
    <x v="19"/>
    <s v="AM"/>
    <x v="2"/>
  </r>
  <r>
    <d v="2026-06-03T00:00:00"/>
    <x v="20"/>
    <s v="AM"/>
    <x v="2"/>
  </r>
  <r>
    <d v="2026-06-03T00:00:00"/>
    <x v="21"/>
    <s v="AM"/>
    <x v="2"/>
  </r>
  <r>
    <d v="2026-06-03T00:00:00"/>
    <x v="22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27"/>
    <s v="MI-TEMPS"/>
    <x v="2"/>
  </r>
  <r>
    <d v="2026-06-03T00:00:00"/>
    <x v="28"/>
    <s v="AM"/>
    <x v="2"/>
  </r>
  <r>
    <d v="2026-06-03T00:00:00"/>
    <x v="29"/>
    <s v="AM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34"/>
    <s v="AM"/>
    <x v="2"/>
  </r>
  <r>
    <d v="2026-06-03T00:00:00"/>
    <x v="12"/>
    <s v="AM"/>
    <x v="2"/>
  </r>
  <r>
    <d v="2026-06-03T00:00:00"/>
    <x v="35"/>
    <s v="AM"/>
    <x v="2"/>
  </r>
  <r>
    <d v="2026-06-03T00:00:00"/>
    <x v="36"/>
    <s v="AM"/>
    <x v="2"/>
  </r>
  <r>
    <d v="2026-06-03T00:00:00"/>
    <x v="37"/>
    <s v="DAY"/>
    <x v="2"/>
  </r>
  <r>
    <d v="2026-06-03T00:00:00"/>
    <x v="38"/>
    <s v="AM"/>
    <x v="2"/>
  </r>
  <r>
    <d v="2026-06-03T00:00:00"/>
    <x v="39"/>
    <s v="AM"/>
    <x v="2"/>
  </r>
  <r>
    <d v="2026-06-03T00:00:00"/>
    <x v="13"/>
    <s v="AM"/>
    <x v="2"/>
  </r>
  <r>
    <d v="2026-06-03T00:00:00"/>
    <x v="42"/>
    <s v="MI-TEMPS"/>
    <x v="2"/>
  </r>
  <r>
    <d v="2026-06-03T00:00:00"/>
    <x v="44"/>
    <s v="MI-TEMPS"/>
    <x v="2"/>
  </r>
  <r>
    <d v="2026-06-03T00:00:00"/>
    <x v="45"/>
    <s v="DAY"/>
    <x v="2"/>
  </r>
  <r>
    <d v="2026-06-03T00:00:00"/>
    <x v="47"/>
    <s v="AM"/>
    <x v="2"/>
  </r>
  <r>
    <d v="2026-06-03T00:00:00"/>
    <x v="48"/>
    <s v="MI-TEMPS"/>
    <x v="2"/>
  </r>
  <r>
    <d v="2026-06-03T00:00:00"/>
    <x v="49"/>
    <s v="AM"/>
    <x v="2"/>
  </r>
  <r>
    <d v="2026-06-03T00:00:00"/>
    <x v="5"/>
    <s v="AM"/>
    <x v="2"/>
  </r>
  <r>
    <d v="2026-06-03T00:00:00"/>
    <x v="6"/>
    <s v="AM"/>
    <x v="2"/>
  </r>
  <r>
    <d v="2026-06-03T00:00:00"/>
    <x v="7"/>
    <s v="AM"/>
    <x v="2"/>
  </r>
  <r>
    <d v="2026-06-03T00:00:00"/>
    <x v="8"/>
    <s v="AM"/>
    <x v="2"/>
  </r>
  <r>
    <d v="2026-06-03T00:00:00"/>
    <x v="9"/>
    <s v="AM"/>
    <x v="2"/>
  </r>
  <r>
    <d v="2026-06-03T00:00:00"/>
    <x v="51"/>
    <s v="DAY"/>
    <x v="2"/>
  </r>
  <r>
    <d v="2026-06-03T00:00:00"/>
    <x v="52"/>
    <s v="AM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5"/>
    <s v="PM"/>
    <x v="0"/>
  </r>
  <r>
    <d v="2026-06-03T00:00:00"/>
    <x v="60"/>
    <s v="PM"/>
    <x v="0"/>
  </r>
  <r>
    <d v="2026-06-03T00:00:00"/>
    <x v="78"/>
    <s v="PM"/>
    <x v="0"/>
  </r>
  <r>
    <d v="2026-06-03T00:00:00"/>
    <x v="81"/>
    <s v="PM"/>
    <x v="0"/>
  </r>
  <r>
    <d v="2026-06-03T00:00:00"/>
    <x v="91"/>
    <s v="PM"/>
    <x v="0"/>
  </r>
  <r>
    <d v="2026-06-03T00:00:00"/>
    <x v="70"/>
    <s v="PM"/>
    <x v="0"/>
  </r>
  <r>
    <d v="2026-06-03T00:00:00"/>
    <x v="68"/>
    <s v="PM"/>
    <x v="0"/>
  </r>
  <r>
    <d v="2026-06-03T00:00:00"/>
    <x v="93"/>
    <s v="PM"/>
    <x v="0"/>
  </r>
  <r>
    <d v="2026-06-03T00:00:00"/>
    <x v="94"/>
    <s v="PM"/>
    <x v="0"/>
  </r>
  <r>
    <d v="2026-06-03T00:00:00"/>
    <x v="96"/>
    <s v="PM"/>
    <x v="0"/>
  </r>
  <r>
    <d v="2026-06-03T00:00:00"/>
    <x v="73"/>
    <s v="PM"/>
    <x v="1"/>
  </r>
  <r>
    <d v="2026-06-03T00:00:00"/>
    <x v="63"/>
    <s v="PM"/>
    <x v="1"/>
  </r>
  <r>
    <d v="2026-06-03T00:00:00"/>
    <x v="84"/>
    <s v="PM"/>
    <x v="1"/>
  </r>
  <r>
    <d v="2026-06-03T00:00:00"/>
    <x v="89"/>
    <s v="PM"/>
    <x v="1"/>
  </r>
  <r>
    <d v="2026-06-03T00:00:00"/>
    <x v="74"/>
    <s v="PM"/>
    <x v="2"/>
  </r>
  <r>
    <d v="2026-06-03T00:00:00"/>
    <x v="59"/>
    <s v="PM"/>
    <x v="2"/>
  </r>
  <r>
    <d v="2026-06-03T00:00:00"/>
    <x v="76"/>
    <s v="PM"/>
    <x v="2"/>
  </r>
  <r>
    <d v="2026-06-03T00:00:00"/>
    <x v="77"/>
    <s v="PM"/>
    <x v="2"/>
  </r>
  <r>
    <d v="2026-06-03T00:00:00"/>
    <x v="79"/>
    <s v="PM"/>
    <x v="2"/>
  </r>
  <r>
    <d v="2026-06-03T00:00:00"/>
    <x v="61"/>
    <s v="PM"/>
    <x v="2"/>
  </r>
  <r>
    <d v="2026-06-03T00:00:00"/>
    <x v="80"/>
    <s v="PM"/>
    <x v="2"/>
  </r>
  <r>
    <d v="2026-06-03T00:00:00"/>
    <x v="62"/>
    <s v="PM"/>
    <x v="2"/>
  </r>
  <r>
    <d v="2026-06-03T00:00:00"/>
    <x v="82"/>
    <s v="PM"/>
    <x v="2"/>
  </r>
  <r>
    <d v="2026-06-03T00:00:00"/>
    <x v="83"/>
    <s v="PM"/>
    <x v="2"/>
  </r>
  <r>
    <d v="2026-06-03T00:00:00"/>
    <x v="64"/>
    <s v="PM"/>
    <x v="2"/>
  </r>
  <r>
    <d v="2026-06-03T00:00:00"/>
    <x v="65"/>
    <s v="PM"/>
    <x v="2"/>
  </r>
  <r>
    <d v="2026-06-03T00:00:00"/>
    <x v="85"/>
    <s v="PM"/>
    <x v="2"/>
  </r>
  <r>
    <d v="2026-06-03T00:00:00"/>
    <x v="86"/>
    <s v="PM"/>
    <x v="2"/>
  </r>
  <r>
    <d v="2026-06-03T00:00:00"/>
    <x v="66"/>
    <s v="PM"/>
    <x v="2"/>
  </r>
  <r>
    <d v="2026-06-03T00:00:00"/>
    <x v="87"/>
    <s v="PM"/>
    <x v="2"/>
  </r>
  <r>
    <d v="2026-06-03T00:00:00"/>
    <x v="88"/>
    <s v="PM"/>
    <x v="2"/>
  </r>
  <r>
    <d v="2026-06-03T00:00:00"/>
    <x v="90"/>
    <s v="PM"/>
    <x v="2"/>
  </r>
  <r>
    <d v="2026-06-03T00:00:00"/>
    <x v="69"/>
    <s v="PM"/>
    <x v="2"/>
  </r>
  <r>
    <d v="2026-06-03T00:00:00"/>
    <x v="67"/>
    <s v="PM"/>
    <x v="2"/>
  </r>
  <r>
    <d v="2026-06-03T00:00:00"/>
    <x v="71"/>
    <s v="PM"/>
    <x v="2"/>
  </r>
  <r>
    <d v="2026-06-03T00:00:00"/>
    <x v="92"/>
    <s v="PM"/>
    <x v="2"/>
  </r>
  <r>
    <d v="2026-06-03T00:00:00"/>
    <x v="72"/>
    <s v="PM"/>
    <x v="2"/>
  </r>
  <r>
    <d v="2026-06-03T00:00:00"/>
    <x v="95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13"/>
    <s v="AM"/>
    <x v="4"/>
  </r>
  <r>
    <d v="2026-06-03T00:00:00"/>
    <x v="102"/>
    <s v="AM"/>
    <x v="5"/>
  </r>
  <r>
    <d v="2026-06-03T00:00:00"/>
    <x v="111"/>
    <s v="AM"/>
    <x v="6"/>
  </r>
  <r>
    <d v="2026-06-03T00:00:00"/>
    <x v="103"/>
    <s v="AM"/>
    <x v="6"/>
  </r>
  <r>
    <d v="2026-06-03T00:00:00"/>
    <x v="112"/>
    <s v="DAY"/>
    <x v="6"/>
  </r>
  <r>
    <d v="2026-06-03T00:00:00"/>
    <x v="117"/>
    <s v="AM"/>
    <x v="6"/>
  </r>
  <r>
    <d v="2026-06-03T00:00:00"/>
    <x v="121"/>
    <s v="AM"/>
    <x v="6"/>
  </r>
  <r>
    <d v="2026-06-03T00:00:00"/>
    <x v="124"/>
    <s v="AM"/>
    <x v="6"/>
  </r>
  <r>
    <d v="2026-06-03T00:00:00"/>
    <x v="104"/>
    <s v="AM"/>
    <x v="7"/>
  </r>
  <r>
    <d v="2026-06-03T00:00:00"/>
    <x v="110"/>
    <s v="AM"/>
    <x v="7"/>
  </r>
  <r>
    <d v="2026-06-03T00:00:00"/>
    <x v="105"/>
    <s v="AM"/>
    <x v="7"/>
  </r>
  <r>
    <d v="2026-06-03T00:00:00"/>
    <x v="106"/>
    <s v="AM"/>
    <x v="7"/>
  </r>
  <r>
    <d v="2026-06-03T00:00:00"/>
    <x v="114"/>
    <s v="DAY"/>
    <x v="7"/>
  </r>
  <r>
    <d v="2026-06-03T00:00:00"/>
    <x v="115"/>
    <s v="AM"/>
    <x v="7"/>
  </r>
  <r>
    <d v="2026-06-03T00:00:00"/>
    <x v="116"/>
    <s v="AM"/>
    <x v="7"/>
  </r>
  <r>
    <d v="2026-06-03T00:00:00"/>
    <x v="118"/>
    <s v="AM"/>
    <x v="7"/>
  </r>
  <r>
    <d v="2026-06-03T00:00:00"/>
    <x v="119"/>
    <s v="AM"/>
    <x v="7"/>
  </r>
  <r>
    <d v="2026-06-03T00:00:00"/>
    <x v="120"/>
    <s v="AM"/>
    <x v="7"/>
  </r>
  <r>
    <d v="2026-06-03T00:00:00"/>
    <x v="107"/>
    <s v="AM"/>
    <x v="7"/>
  </r>
  <r>
    <d v="2026-06-03T00:00:00"/>
    <x v="122"/>
    <s v="AM"/>
    <x v="7"/>
  </r>
  <r>
    <d v="2026-06-03T00:00:00"/>
    <x v="108"/>
    <s v="AM"/>
    <x v="7"/>
  </r>
  <r>
    <d v="2026-06-03T00:00:00"/>
    <x v="109"/>
    <s v="AM"/>
    <x v="7"/>
  </r>
  <r>
    <d v="2026-06-03T00:00:00"/>
    <x v="123"/>
    <s v="AM"/>
    <x v="7"/>
  </r>
  <r>
    <d v="2026-06-03T00:00:00"/>
    <x v="125"/>
    <s v="DAY"/>
    <x v="7"/>
  </r>
  <r>
    <d v="2026-06-03T00:00:00"/>
    <x v="126"/>
    <s v="AM"/>
    <x v="7"/>
  </r>
  <r>
    <d v="2026-06-03T00:00:00"/>
    <x v="127"/>
    <s v="AM"/>
    <x v="7"/>
  </r>
  <r>
    <d v="2026-06-03T00:00:00"/>
    <x v="128"/>
    <s v="AM"/>
    <x v="7"/>
  </r>
  <r>
    <d v="2026-06-03T00:00:00"/>
    <x v="129"/>
    <s v="AM"/>
    <x v="7"/>
  </r>
  <r>
    <d v="2026-06-03T00:00:00"/>
    <x v="130"/>
    <s v="AM"/>
    <x v="7"/>
  </r>
  <r>
    <d v="2026-06-03T00:00:00"/>
    <x v="148"/>
    <s v="PM"/>
    <x v="4"/>
  </r>
  <r>
    <d v="2026-06-03T00:00:00"/>
    <x v="154"/>
    <s v="PM"/>
    <x v="5"/>
  </r>
  <r>
    <d v="2026-06-03T00:00:00"/>
    <x v="132"/>
    <s v="PM"/>
    <x v="6"/>
  </r>
  <r>
    <d v="2026-06-03T00:00:00"/>
    <x v="144"/>
    <s v="PM"/>
    <x v="6"/>
  </r>
  <r>
    <d v="2026-06-03T00:00:00"/>
    <x v="137"/>
    <s v="PM"/>
    <x v="6"/>
  </r>
  <r>
    <d v="2026-06-03T00:00:00"/>
    <x v="139"/>
    <s v="PM"/>
    <x v="6"/>
  </r>
  <r>
    <d v="2026-06-03T00:00:00"/>
    <x v="150"/>
    <s v="PM"/>
    <x v="6"/>
  </r>
  <r>
    <d v="2026-06-03T00:00:00"/>
    <x v="151"/>
    <s v="PM"/>
    <x v="6"/>
  </r>
  <r>
    <d v="2026-06-03T00:00:00"/>
    <x v="152"/>
    <s v="PM"/>
    <x v="6"/>
  </r>
  <r>
    <d v="2026-06-03T00:00:00"/>
    <x v="153"/>
    <s v="PM"/>
    <x v="6"/>
  </r>
  <r>
    <d v="2026-06-03T00:00:00"/>
    <x v="155"/>
    <s v="PM"/>
    <x v="6"/>
  </r>
  <r>
    <d v="2026-06-03T00:00:00"/>
    <x v="133"/>
    <s v="PM"/>
    <x v="7"/>
  </r>
  <r>
    <d v="2026-06-03T00:00:00"/>
    <x v="134"/>
    <s v="PM"/>
    <x v="7"/>
  </r>
  <r>
    <d v="2026-06-03T00:00:00"/>
    <x v="135"/>
    <s v="PM"/>
    <x v="7"/>
  </r>
  <r>
    <d v="2026-06-03T00:00:00"/>
    <x v="142"/>
    <s v="PM"/>
    <x v="7"/>
  </r>
  <r>
    <d v="2026-06-03T00:00:00"/>
    <x v="143"/>
    <s v="PM"/>
    <x v="7"/>
  </r>
  <r>
    <d v="2026-06-03T00:00:00"/>
    <x v="136"/>
    <s v="PM"/>
    <x v="7"/>
  </r>
  <r>
    <d v="2026-06-03T00:00:00"/>
    <x v="145"/>
    <s v="PM"/>
    <x v="7"/>
  </r>
  <r>
    <d v="2026-06-03T00:00:00"/>
    <x v="146"/>
    <s v="PM"/>
    <x v="7"/>
  </r>
  <r>
    <d v="2026-06-03T00:00:00"/>
    <x v="138"/>
    <s v="PM"/>
    <x v="7"/>
  </r>
  <r>
    <d v="2026-06-03T00:00:00"/>
    <x v="147"/>
    <s v="PM"/>
    <x v="7"/>
  </r>
  <r>
    <d v="2026-06-03T00:00:00"/>
    <x v="149"/>
    <s v="PM"/>
    <x v="7"/>
  </r>
  <r>
    <d v="2026-06-03T00:00:00"/>
    <x v="140"/>
    <s v="PM"/>
    <x v="7"/>
  </r>
  <r>
    <d v="2026-06-03T00:00:00"/>
    <x v="141"/>
    <s v="PM"/>
    <x v="7"/>
  </r>
  <r>
    <d v="2026-06-03T00:00:00"/>
    <x v="156"/>
    <s v="PM"/>
    <x v="7"/>
  </r>
  <r>
    <d v="2026-06-03T00:00:00"/>
    <x v="131"/>
    <s v="PM"/>
    <x v="7"/>
  </r>
  <r>
    <d v="2026-06-03T00:00:00"/>
    <x v="20"/>
    <s v="AM"/>
    <x v="0"/>
  </r>
  <r>
    <d v="2026-06-03T00:00:00"/>
    <x v="21"/>
    <s v="AM"/>
    <x v="0"/>
  </r>
  <r>
    <d v="2026-06-03T00:00:00"/>
    <x v="31"/>
    <s v="AM"/>
    <x v="0"/>
  </r>
  <r>
    <d v="2026-06-03T00:00:00"/>
    <x v="12"/>
    <s v="AM"/>
    <x v="0"/>
  </r>
  <r>
    <d v="2026-06-03T00:00:00"/>
    <x v="38"/>
    <s v="AM"/>
    <x v="0"/>
  </r>
  <r>
    <d v="2026-06-03T00:00:00"/>
    <x v="42"/>
    <s v="MI-TEMPS"/>
    <x v="0"/>
  </r>
  <r>
    <d v="2026-06-03T00:00:00"/>
    <x v="43"/>
    <s v="AM"/>
    <x v="0"/>
  </r>
  <r>
    <d v="2026-06-03T00:00:00"/>
    <x v="44"/>
    <s v="MI-TEMPS"/>
    <x v="0"/>
  </r>
  <r>
    <d v="2026-06-03T00:00:00"/>
    <x v="47"/>
    <s v="AM"/>
    <x v="0"/>
  </r>
  <r>
    <d v="2026-06-03T00:00:00"/>
    <x v="9"/>
    <s v="AM"/>
    <x v="0"/>
  </r>
  <r>
    <d v="2026-06-03T00:00:00"/>
    <x v="22"/>
    <s v="AM"/>
    <x v="1"/>
  </r>
  <r>
    <d v="2026-06-03T00:00:00"/>
    <x v="26"/>
    <s v="AM"/>
    <x v="1"/>
  </r>
  <r>
    <d v="2026-06-03T00:00:00"/>
    <x v="36"/>
    <s v="AM"/>
    <x v="1"/>
  </r>
  <r>
    <d v="2026-06-03T00:00:00"/>
    <x v="52"/>
    <s v="AM"/>
    <x v="1"/>
  </r>
  <r>
    <d v="2026-06-03T00:00:00"/>
    <x v="10"/>
    <s v="AM"/>
    <x v="2"/>
  </r>
  <r>
    <d v="2026-06-03T00:00:00"/>
    <x v="14"/>
    <s v="AM"/>
    <x v="2"/>
  </r>
  <r>
    <d v="2026-06-03T00:00:00"/>
    <x v="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18"/>
    <s v="AM"/>
    <x v="2"/>
  </r>
  <r>
    <d v="2026-06-03T00:00:00"/>
    <x v="19"/>
    <s v="AM"/>
    <x v="2"/>
  </r>
  <r>
    <d v="2026-06-03T00:00:00"/>
    <x v="1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11"/>
    <s v="AM"/>
    <x v="2"/>
  </r>
  <r>
    <d v="2026-06-03T00:00:00"/>
    <x v="27"/>
    <s v="MI-TEMPS"/>
    <x v="2"/>
  </r>
  <r>
    <d v="2026-06-03T00:00:00"/>
    <x v="28"/>
    <s v="AM"/>
    <x v="2"/>
  </r>
  <r>
    <d v="2026-06-03T00:00:00"/>
    <x v="29"/>
    <s v="AM"/>
    <x v="2"/>
  </r>
  <r>
    <d v="2026-06-03T00:00:00"/>
    <x v="30"/>
    <s v="DAY"/>
    <x v="2"/>
  </r>
  <r>
    <d v="2026-06-03T00:00:00"/>
    <x v="2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"/>
    <s v="AM"/>
    <x v="2"/>
  </r>
  <r>
    <d v="2026-06-03T00:00:00"/>
    <x v="34"/>
    <s v="AM"/>
    <x v="2"/>
  </r>
  <r>
    <d v="2026-06-03T00:00:00"/>
    <x v="35"/>
    <s v="AM"/>
    <x v="2"/>
  </r>
  <r>
    <d v="2026-06-03T00:00:00"/>
    <x v="37"/>
    <s v="DAY"/>
    <x v="2"/>
  </r>
  <r>
    <d v="2026-06-03T00:00:00"/>
    <x v="39"/>
    <s v="AM"/>
    <x v="2"/>
  </r>
  <r>
    <d v="2026-06-03T00:00:00"/>
    <x v="40"/>
    <s v="AM"/>
    <x v="2"/>
  </r>
  <r>
    <d v="2026-06-03T00:00:00"/>
    <x v="13"/>
    <s v="AM"/>
    <x v="2"/>
  </r>
  <r>
    <d v="2026-06-03T00:00:00"/>
    <x v="4"/>
    <s v="AM"/>
    <x v="2"/>
  </r>
  <r>
    <d v="2026-06-03T00:00:00"/>
    <x v="41"/>
    <s v="AM"/>
    <x v="2"/>
  </r>
  <r>
    <d v="2026-06-03T00:00:00"/>
    <x v="45"/>
    <s v="DAY"/>
    <x v="2"/>
  </r>
  <r>
    <d v="2026-06-03T00:00:00"/>
    <x v="46"/>
    <s v="MI-TEMPS"/>
    <x v="2"/>
  </r>
  <r>
    <d v="2026-06-03T00:00:00"/>
    <x v="48"/>
    <s v="MI-TEMPS"/>
    <x v="2"/>
  </r>
  <r>
    <d v="2026-06-03T00:00:00"/>
    <x v="49"/>
    <s v="AM"/>
    <x v="2"/>
  </r>
  <r>
    <d v="2026-06-03T00:00:00"/>
    <x v="50"/>
    <s v="AM"/>
    <x v="2"/>
  </r>
  <r>
    <d v="2026-06-03T00:00:00"/>
    <x v="5"/>
    <s v="AM"/>
    <x v="2"/>
  </r>
  <r>
    <d v="2026-06-03T00:00:00"/>
    <x v="6"/>
    <s v="AM"/>
    <x v="2"/>
  </r>
  <r>
    <d v="2026-06-03T00:00:00"/>
    <x v="7"/>
    <s v="AM"/>
    <x v="2"/>
  </r>
  <r>
    <d v="2026-06-03T00:00:00"/>
    <x v="8"/>
    <s v="AM"/>
    <x v="2"/>
  </r>
  <r>
    <d v="2026-06-03T00:00:00"/>
    <x v="51"/>
    <s v="DAY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3"/>
    <s v="PM"/>
    <x v="0"/>
  </r>
  <r>
    <d v="2026-06-03T00:00:00"/>
    <x v="76"/>
    <s v="PM"/>
    <x v="0"/>
  </r>
  <r>
    <d v="2026-06-03T00:00:00"/>
    <x v="79"/>
    <s v="PM"/>
    <x v="0"/>
  </r>
  <r>
    <d v="2026-06-03T00:00:00"/>
    <x v="80"/>
    <s v="PM"/>
    <x v="0"/>
  </r>
  <r>
    <d v="2026-06-03T00:00:00"/>
    <x v="82"/>
    <s v="PM"/>
    <x v="0"/>
  </r>
  <r>
    <d v="2026-06-03T00:00:00"/>
    <x v="85"/>
    <s v="PM"/>
    <x v="0"/>
  </r>
  <r>
    <d v="2026-06-03T00:00:00"/>
    <x v="86"/>
    <s v="PM"/>
    <x v="0"/>
  </r>
  <r>
    <d v="2026-06-03T00:00:00"/>
    <x v="66"/>
    <s v="PM"/>
    <x v="0"/>
  </r>
  <r>
    <d v="2026-06-03T00:00:00"/>
    <x v="69"/>
    <s v="PM"/>
    <x v="0"/>
  </r>
  <r>
    <d v="2026-06-03T00:00:00"/>
    <x v="72"/>
    <s v="PM"/>
    <x v="0"/>
  </r>
  <r>
    <d v="2026-06-03T00:00:00"/>
    <x v="60"/>
    <s v="PM"/>
    <x v="1"/>
  </r>
  <r>
    <d v="2026-06-03T00:00:00"/>
    <x v="77"/>
    <s v="PM"/>
    <x v="1"/>
  </r>
  <r>
    <d v="2026-06-03T00:00:00"/>
    <x v="90"/>
    <s v="PM"/>
    <x v="1"/>
  </r>
  <r>
    <d v="2026-06-03T00:00:00"/>
    <x v="91"/>
    <s v="PM"/>
    <x v="1"/>
  </r>
  <r>
    <d v="2026-06-03T00:00:00"/>
    <x v="74"/>
    <s v="PM"/>
    <x v="2"/>
  </r>
  <r>
    <d v="2026-06-03T00:00:00"/>
    <x v="59"/>
    <s v="PM"/>
    <x v="2"/>
  </r>
  <r>
    <d v="2026-06-03T00:00:00"/>
    <x v="75"/>
    <s v="PM"/>
    <x v="2"/>
  </r>
  <r>
    <d v="2026-06-03T00:00:00"/>
    <x v="78"/>
    <s v="PM"/>
    <x v="2"/>
  </r>
  <r>
    <d v="2026-06-03T00:00:00"/>
    <x v="61"/>
    <s v="PM"/>
    <x v="2"/>
  </r>
  <r>
    <d v="2026-06-03T00:00:00"/>
    <x v="81"/>
    <s v="PM"/>
    <x v="2"/>
  </r>
  <r>
    <d v="2026-06-03T00:00:00"/>
    <x v="62"/>
    <s v="PM"/>
    <x v="2"/>
  </r>
  <r>
    <d v="2026-06-03T00:00:00"/>
    <x v="83"/>
    <s v="PM"/>
    <x v="2"/>
  </r>
  <r>
    <d v="2026-06-03T00:00:00"/>
    <x v="63"/>
    <s v="PM"/>
    <x v="2"/>
  </r>
  <r>
    <d v="2026-06-03T00:00:00"/>
    <x v="64"/>
    <s v="PM"/>
    <x v="2"/>
  </r>
  <r>
    <d v="2026-06-03T00:00:00"/>
    <x v="65"/>
    <s v="PM"/>
    <x v="2"/>
  </r>
  <r>
    <d v="2026-06-03T00:00:00"/>
    <x v="84"/>
    <s v="PM"/>
    <x v="2"/>
  </r>
  <r>
    <d v="2026-06-03T00:00:00"/>
    <x v="87"/>
    <s v="PM"/>
    <x v="2"/>
  </r>
  <r>
    <d v="2026-06-03T00:00:00"/>
    <x v="88"/>
    <s v="PM"/>
    <x v="2"/>
  </r>
  <r>
    <d v="2026-06-03T00:00:00"/>
    <x v="89"/>
    <s v="PM"/>
    <x v="2"/>
  </r>
  <r>
    <d v="2026-06-03T00:00:00"/>
    <x v="67"/>
    <s v="PM"/>
    <x v="2"/>
  </r>
  <r>
    <d v="2026-06-03T00:00:00"/>
    <x v="70"/>
    <s v="PM"/>
    <x v="2"/>
  </r>
  <r>
    <d v="2026-06-03T00:00:00"/>
    <x v="71"/>
    <s v="PM"/>
    <x v="2"/>
  </r>
  <r>
    <d v="2026-06-03T00:00:00"/>
    <x v="68"/>
    <s v="PM"/>
    <x v="2"/>
  </r>
  <r>
    <d v="2026-06-03T00:00:00"/>
    <x v="92"/>
    <s v="PM"/>
    <x v="2"/>
  </r>
  <r>
    <d v="2026-06-03T00:00:00"/>
    <x v="93"/>
    <s v="PM"/>
    <x v="2"/>
  </r>
  <r>
    <d v="2026-06-03T00:00:00"/>
    <x v="94"/>
    <s v="PM"/>
    <x v="2"/>
  </r>
  <r>
    <d v="2026-06-03T00:00:00"/>
    <x v="95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18"/>
    <s v="AM"/>
    <x v="4"/>
  </r>
  <r>
    <d v="2026-06-03T00:00:00"/>
    <x v="129"/>
    <s v="AM"/>
    <x v="5"/>
  </r>
  <r>
    <d v="2026-06-03T00:00:00"/>
    <x v="105"/>
    <s v="AM"/>
    <x v="6"/>
  </r>
  <r>
    <d v="2026-06-03T00:00:00"/>
    <x v="114"/>
    <s v="DAY"/>
    <x v="6"/>
  </r>
  <r>
    <d v="2026-06-03T00:00:00"/>
    <x v="115"/>
    <s v="AM"/>
    <x v="6"/>
  </r>
  <r>
    <d v="2026-06-03T00:00:00"/>
    <x v="121"/>
    <s v="AM"/>
    <x v="6"/>
  </r>
  <r>
    <d v="2026-06-03T00:00:00"/>
    <x v="102"/>
    <s v="AM"/>
    <x v="6"/>
  </r>
  <r>
    <d v="2026-06-03T00:00:00"/>
    <x v="123"/>
    <s v="AM"/>
    <x v="6"/>
  </r>
  <r>
    <d v="2026-06-03T00:00:00"/>
    <x v="104"/>
    <s v="AM"/>
    <x v="7"/>
  </r>
  <r>
    <d v="2026-06-03T00:00:00"/>
    <x v="110"/>
    <s v="AM"/>
    <x v="7"/>
  </r>
  <r>
    <d v="2026-06-03T00:00:00"/>
    <x v="111"/>
    <s v="AM"/>
    <x v="7"/>
  </r>
  <r>
    <d v="2026-06-03T00:00:00"/>
    <x v="103"/>
    <s v="AM"/>
    <x v="7"/>
  </r>
  <r>
    <d v="2026-06-03T00:00:00"/>
    <x v="112"/>
    <s v="DAY"/>
    <x v="7"/>
  </r>
  <r>
    <d v="2026-06-03T00:00:00"/>
    <x v="106"/>
    <s v="AM"/>
    <x v="7"/>
  </r>
  <r>
    <d v="2026-06-03T00:00:00"/>
    <x v="113"/>
    <s v="AM"/>
    <x v="7"/>
  </r>
  <r>
    <d v="2026-06-03T00:00:00"/>
    <x v="116"/>
    <s v="AM"/>
    <x v="7"/>
  </r>
  <r>
    <d v="2026-06-03T00:00:00"/>
    <x v="117"/>
    <s v="AM"/>
    <x v="7"/>
  </r>
  <r>
    <d v="2026-06-03T00:00:00"/>
    <x v="119"/>
    <s v="AM"/>
    <x v="7"/>
  </r>
  <r>
    <d v="2026-06-03T00:00:00"/>
    <x v="120"/>
    <s v="AM"/>
    <x v="7"/>
  </r>
  <r>
    <d v="2026-06-03T00:00:00"/>
    <x v="107"/>
    <s v="AM"/>
    <x v="7"/>
  </r>
  <r>
    <d v="2026-06-03T00:00:00"/>
    <x v="122"/>
    <s v="AM"/>
    <x v="7"/>
  </r>
  <r>
    <d v="2026-06-03T00:00:00"/>
    <x v="108"/>
    <s v="AM"/>
    <x v="7"/>
  </r>
  <r>
    <d v="2026-06-03T00:00:00"/>
    <x v="109"/>
    <s v="AM"/>
    <x v="7"/>
  </r>
  <r>
    <d v="2026-06-03T00:00:00"/>
    <x v="124"/>
    <s v="AM"/>
    <x v="7"/>
  </r>
  <r>
    <d v="2026-06-03T00:00:00"/>
    <x v="125"/>
    <s v="DAY"/>
    <x v="7"/>
  </r>
  <r>
    <d v="2026-06-03T00:00:00"/>
    <x v="126"/>
    <s v="AM"/>
    <x v="7"/>
  </r>
  <r>
    <d v="2026-06-03T00:00:00"/>
    <x v="127"/>
    <s v="AM"/>
    <x v="7"/>
  </r>
  <r>
    <d v="2026-06-03T00:00:00"/>
    <x v="128"/>
    <s v="AM"/>
    <x v="7"/>
  </r>
  <r>
    <d v="2026-06-03T00:00:00"/>
    <x v="130"/>
    <s v="AM"/>
    <x v="7"/>
  </r>
  <r>
    <d v="2026-06-03T00:00:00"/>
    <x v="139"/>
    <s v="PM"/>
    <x v="4"/>
  </r>
  <r>
    <d v="2026-06-03T00:00:00"/>
    <x v="144"/>
    <s v="PM"/>
    <x v="5"/>
  </r>
  <r>
    <d v="2026-06-03T00:00:00"/>
    <x v="134"/>
    <s v="PM"/>
    <x v="6"/>
  </r>
  <r>
    <d v="2026-06-03T00:00:00"/>
    <x v="136"/>
    <s v="PM"/>
    <x v="6"/>
  </r>
  <r>
    <d v="2026-06-03T00:00:00"/>
    <x v="138"/>
    <s v="PM"/>
    <x v="6"/>
  </r>
  <r>
    <d v="2026-06-03T00:00:00"/>
    <x v="148"/>
    <s v="PM"/>
    <x v="6"/>
  </r>
  <r>
    <d v="2026-06-03T00:00:00"/>
    <x v="149"/>
    <s v="PM"/>
    <x v="6"/>
  </r>
  <r>
    <d v="2026-06-03T00:00:00"/>
    <x v="140"/>
    <s v="PM"/>
    <x v="6"/>
  </r>
  <r>
    <d v="2026-06-03T00:00:00"/>
    <x v="154"/>
    <s v="PM"/>
    <x v="6"/>
  </r>
  <r>
    <d v="2026-06-03T00:00:00"/>
    <x v="141"/>
    <s v="PM"/>
    <x v="6"/>
  </r>
  <r>
    <d v="2026-06-03T00:00:00"/>
    <x v="156"/>
    <s v="PM"/>
    <x v="6"/>
  </r>
  <r>
    <d v="2026-06-03T00:00:00"/>
    <x v="133"/>
    <s v="PM"/>
    <x v="7"/>
  </r>
  <r>
    <d v="2026-06-03T00:00:00"/>
    <x v="135"/>
    <s v="PM"/>
    <x v="7"/>
  </r>
  <r>
    <d v="2026-06-03T00:00:00"/>
    <x v="142"/>
    <s v="PM"/>
    <x v="7"/>
  </r>
  <r>
    <d v="2026-06-03T00:00:00"/>
    <x v="143"/>
    <s v="PM"/>
    <x v="7"/>
  </r>
  <r>
    <d v="2026-06-03T00:00:00"/>
    <x v="132"/>
    <s v="PM"/>
    <x v="7"/>
  </r>
  <r>
    <d v="2026-06-03T00:00:00"/>
    <x v="145"/>
    <s v="PM"/>
    <x v="7"/>
  </r>
  <r>
    <d v="2026-06-03T00:00:00"/>
    <x v="137"/>
    <s v="PM"/>
    <x v="7"/>
  </r>
  <r>
    <d v="2026-06-03T00:00:00"/>
    <x v="146"/>
    <s v="PM"/>
    <x v="7"/>
  </r>
  <r>
    <d v="2026-06-03T00:00:00"/>
    <x v="147"/>
    <s v="PM"/>
    <x v="7"/>
  </r>
  <r>
    <d v="2026-06-03T00:00:00"/>
    <x v="150"/>
    <s v="PM"/>
    <x v="7"/>
  </r>
  <r>
    <d v="2026-06-03T00:00:00"/>
    <x v="151"/>
    <s v="PM"/>
    <x v="7"/>
  </r>
  <r>
    <d v="2026-06-03T00:00:00"/>
    <x v="152"/>
    <s v="PM"/>
    <x v="7"/>
  </r>
  <r>
    <d v="2026-06-03T00:00:00"/>
    <x v="153"/>
    <s v="PM"/>
    <x v="7"/>
  </r>
  <r>
    <d v="2026-06-03T00:00:00"/>
    <x v="155"/>
    <s v="PM"/>
    <x v="7"/>
  </r>
  <r>
    <d v="2026-06-03T00:00:00"/>
    <x v="131"/>
    <s v="PM"/>
    <x v="7"/>
  </r>
  <r>
    <d v="2026-06-03T00:00:00"/>
    <x v="14"/>
    <s v="AM"/>
    <x v="0"/>
  </r>
  <r>
    <d v="2026-06-03T00:00:00"/>
    <x v="19"/>
    <s v="AM"/>
    <x v="0"/>
  </r>
  <r>
    <d v="2026-06-03T00:00:00"/>
    <x v="22"/>
    <s v="AM"/>
    <x v="0"/>
  </r>
  <r>
    <d v="2026-06-03T00:00:00"/>
    <x v="23"/>
    <s v="AM"/>
    <x v="0"/>
  </r>
  <r>
    <d v="2026-06-03T00:00:00"/>
    <x v="28"/>
    <s v="AM"/>
    <x v="0"/>
  </r>
  <r>
    <d v="2026-06-03T00:00:00"/>
    <x v="35"/>
    <s v="AM"/>
    <x v="0"/>
  </r>
  <r>
    <d v="2026-06-03T00:00:00"/>
    <x v="13"/>
    <s v="AM"/>
    <x v="0"/>
  </r>
  <r>
    <d v="2026-06-03T00:00:00"/>
    <x v="45"/>
    <s v="DAY"/>
    <x v="0"/>
  </r>
  <r>
    <d v="2026-06-03T00:00:00"/>
    <x v="8"/>
    <s v="AM"/>
    <x v="0"/>
  </r>
  <r>
    <d v="2026-06-03T00:00:00"/>
    <x v="53"/>
    <s v="MI-TEMPS"/>
    <x v="0"/>
  </r>
  <r>
    <d v="2026-06-03T00:00:00"/>
    <x v="29"/>
    <s v="AM"/>
    <x v="1"/>
  </r>
  <r>
    <d v="2026-06-03T00:00:00"/>
    <x v="32"/>
    <s v="MI-TEMPS"/>
    <x v="1"/>
  </r>
  <r>
    <d v="2026-06-03T00:00:00"/>
    <x v="34"/>
    <s v="AM"/>
    <x v="1"/>
  </r>
  <r>
    <d v="2026-06-03T00:00:00"/>
    <x v="5"/>
    <s v="AM"/>
    <x v="1"/>
  </r>
  <r>
    <d v="2026-06-03T00:00:00"/>
    <x v="10"/>
    <s v="AM"/>
    <x v="2"/>
  </r>
  <r>
    <d v="2026-06-03T00:00:00"/>
    <x v="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18"/>
    <s v="AM"/>
    <x v="2"/>
  </r>
  <r>
    <d v="2026-06-03T00:00:00"/>
    <x v="20"/>
    <s v="AM"/>
    <x v="2"/>
  </r>
  <r>
    <d v="2026-06-03T00:00:00"/>
    <x v="21"/>
    <s v="AM"/>
    <x v="2"/>
  </r>
  <r>
    <d v="2026-06-03T00:00:00"/>
    <x v="1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27"/>
    <s v="MI-TEMPS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33"/>
    <s v="AM"/>
    <x v="2"/>
  </r>
  <r>
    <d v="2026-06-03T00:00:00"/>
    <x v="3"/>
    <s v="AM"/>
    <x v="2"/>
  </r>
  <r>
    <d v="2026-06-03T00:00:00"/>
    <x v="12"/>
    <s v="AM"/>
    <x v="2"/>
  </r>
  <r>
    <d v="2026-06-03T00:00:00"/>
    <x v="36"/>
    <s v="AM"/>
    <x v="2"/>
  </r>
  <r>
    <d v="2026-06-03T00:00:00"/>
    <x v="37"/>
    <s v="DAY"/>
    <x v="2"/>
  </r>
  <r>
    <d v="2026-06-03T00:00:00"/>
    <x v="38"/>
    <s v="AM"/>
    <x v="2"/>
  </r>
  <r>
    <d v="2026-06-03T00:00:00"/>
    <x v="39"/>
    <s v="AM"/>
    <x v="2"/>
  </r>
  <r>
    <d v="2026-06-03T00:00:00"/>
    <x v="40"/>
    <s v="AM"/>
    <x v="2"/>
  </r>
  <r>
    <d v="2026-06-03T00:00:00"/>
    <x v="4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46"/>
    <s v="MI-TEMPS"/>
    <x v="2"/>
  </r>
  <r>
    <d v="2026-06-03T00:00:00"/>
    <x v="47"/>
    <s v="AM"/>
    <x v="2"/>
  </r>
  <r>
    <d v="2026-06-03T00:00:00"/>
    <x v="48"/>
    <s v="MI-TEMPS"/>
    <x v="2"/>
  </r>
  <r>
    <d v="2026-06-03T00:00:00"/>
    <x v="49"/>
    <s v="AM"/>
    <x v="2"/>
  </r>
  <r>
    <d v="2026-06-03T00:00:00"/>
    <x v="50"/>
    <s v="AM"/>
    <x v="2"/>
  </r>
  <r>
    <d v="2026-06-03T00:00:00"/>
    <x v="6"/>
    <s v="AM"/>
    <x v="2"/>
  </r>
  <r>
    <d v="2026-06-03T00:00:00"/>
    <x v="7"/>
    <s v="AM"/>
    <x v="2"/>
  </r>
  <r>
    <d v="2026-06-03T00:00:00"/>
    <x v="9"/>
    <s v="AM"/>
    <x v="2"/>
  </r>
  <r>
    <d v="2026-06-03T00:00:00"/>
    <x v="51"/>
    <s v="DAY"/>
    <x v="2"/>
  </r>
  <r>
    <d v="2026-06-03T00:00:00"/>
    <x v="52"/>
    <s v="AM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4"/>
    <s v="PM"/>
    <x v="0"/>
  </r>
  <r>
    <d v="2026-06-03T00:00:00"/>
    <x v="59"/>
    <s v="PM"/>
    <x v="0"/>
  </r>
  <r>
    <d v="2026-06-03T00:00:00"/>
    <x v="77"/>
    <s v="PM"/>
    <x v="0"/>
  </r>
  <r>
    <d v="2026-06-03T00:00:00"/>
    <x v="61"/>
    <s v="PM"/>
    <x v="0"/>
  </r>
  <r>
    <d v="2026-06-03T00:00:00"/>
    <x v="62"/>
    <s v="PM"/>
    <x v="0"/>
  </r>
  <r>
    <d v="2026-06-03T00:00:00"/>
    <x v="64"/>
    <s v="PM"/>
    <x v="0"/>
  </r>
  <r>
    <d v="2026-06-03T00:00:00"/>
    <x v="87"/>
    <s v="PM"/>
    <x v="0"/>
  </r>
  <r>
    <d v="2026-06-03T00:00:00"/>
    <x v="89"/>
    <s v="PM"/>
    <x v="0"/>
  </r>
  <r>
    <d v="2026-06-03T00:00:00"/>
    <x v="92"/>
    <s v="PM"/>
    <x v="0"/>
  </r>
  <r>
    <d v="2026-06-03T00:00:00"/>
    <x v="95"/>
    <s v="PM"/>
    <x v="0"/>
  </r>
  <r>
    <d v="2026-06-03T00:00:00"/>
    <x v="75"/>
    <s v="PM"/>
    <x v="1"/>
  </r>
  <r>
    <d v="2026-06-03T00:00:00"/>
    <x v="80"/>
    <s v="PM"/>
    <x v="1"/>
  </r>
  <r>
    <d v="2026-06-03T00:00:00"/>
    <x v="82"/>
    <s v="PM"/>
    <x v="1"/>
  </r>
  <r>
    <d v="2026-06-03T00:00:00"/>
    <x v="85"/>
    <s v="PM"/>
    <x v="1"/>
  </r>
  <r>
    <d v="2026-06-03T00:00:00"/>
    <x v="73"/>
    <s v="PM"/>
    <x v="2"/>
  </r>
  <r>
    <d v="2026-06-03T00:00:00"/>
    <x v="60"/>
    <s v="PM"/>
    <x v="2"/>
  </r>
  <r>
    <d v="2026-06-03T00:00:00"/>
    <x v="76"/>
    <s v="PM"/>
    <x v="2"/>
  </r>
  <r>
    <d v="2026-06-03T00:00:00"/>
    <x v="78"/>
    <s v="PM"/>
    <x v="2"/>
  </r>
  <r>
    <d v="2026-06-03T00:00:00"/>
    <x v="79"/>
    <s v="PM"/>
    <x v="2"/>
  </r>
  <r>
    <d v="2026-06-03T00:00:00"/>
    <x v="81"/>
    <s v="PM"/>
    <x v="2"/>
  </r>
  <r>
    <d v="2026-06-03T00:00:00"/>
    <x v="83"/>
    <s v="PM"/>
    <x v="2"/>
  </r>
  <r>
    <d v="2026-06-03T00:00:00"/>
    <x v="63"/>
    <s v="PM"/>
    <x v="2"/>
  </r>
  <r>
    <d v="2026-06-03T00:00:00"/>
    <x v="65"/>
    <s v="PM"/>
    <x v="2"/>
  </r>
  <r>
    <d v="2026-06-03T00:00:00"/>
    <x v="84"/>
    <s v="PM"/>
    <x v="2"/>
  </r>
  <r>
    <d v="2026-06-03T00:00:00"/>
    <x v="86"/>
    <s v="PM"/>
    <x v="2"/>
  </r>
  <r>
    <d v="2026-06-03T00:00:00"/>
    <x v="66"/>
    <s v="PM"/>
    <x v="2"/>
  </r>
  <r>
    <d v="2026-06-03T00:00:00"/>
    <x v="88"/>
    <s v="PM"/>
    <x v="2"/>
  </r>
  <r>
    <d v="2026-06-03T00:00:00"/>
    <x v="90"/>
    <s v="PM"/>
    <x v="2"/>
  </r>
  <r>
    <d v="2026-06-03T00:00:00"/>
    <x v="69"/>
    <s v="PM"/>
    <x v="2"/>
  </r>
  <r>
    <d v="2026-06-03T00:00:00"/>
    <x v="91"/>
    <s v="PM"/>
    <x v="2"/>
  </r>
  <r>
    <d v="2026-06-03T00:00:00"/>
    <x v="67"/>
    <s v="PM"/>
    <x v="2"/>
  </r>
  <r>
    <d v="2026-06-03T00:00:00"/>
    <x v="70"/>
    <s v="PM"/>
    <x v="2"/>
  </r>
  <r>
    <d v="2026-06-03T00:00:00"/>
    <x v="71"/>
    <s v="PM"/>
    <x v="2"/>
  </r>
  <r>
    <d v="2026-06-03T00:00:00"/>
    <x v="68"/>
    <s v="PM"/>
    <x v="2"/>
  </r>
  <r>
    <d v="2026-06-03T00:00:00"/>
    <x v="93"/>
    <s v="PM"/>
    <x v="2"/>
  </r>
  <r>
    <d v="2026-06-03T00:00:00"/>
    <x v="72"/>
    <s v="PM"/>
    <x v="2"/>
  </r>
  <r>
    <d v="2026-06-03T00:00:00"/>
    <x v="94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26"/>
    <s v="AM"/>
    <x v="4"/>
  </r>
  <r>
    <d v="2026-06-03T00:00:00"/>
    <x v="117"/>
    <s v="AM"/>
    <x v="5"/>
  </r>
  <r>
    <d v="2026-06-03T00:00:00"/>
    <x v="112"/>
    <s v="DAY"/>
    <x v="6"/>
  </r>
  <r>
    <d v="2026-06-03T00:00:00"/>
    <x v="113"/>
    <s v="AM"/>
    <x v="6"/>
  </r>
  <r>
    <d v="2026-06-03T00:00:00"/>
    <x v="119"/>
    <s v="AM"/>
    <x v="6"/>
  </r>
  <r>
    <d v="2026-06-03T00:00:00"/>
    <x v="120"/>
    <s v="AM"/>
    <x v="6"/>
  </r>
  <r>
    <d v="2026-06-03T00:00:00"/>
    <x v="122"/>
    <s v="AM"/>
    <x v="6"/>
  </r>
  <r>
    <d v="2026-06-03T00:00:00"/>
    <x v="109"/>
    <s v="AM"/>
    <x v="6"/>
  </r>
  <r>
    <d v="2026-06-03T00:00:00"/>
    <x v="104"/>
    <s v="AM"/>
    <x v="7"/>
  </r>
  <r>
    <d v="2026-06-03T00:00:00"/>
    <x v="110"/>
    <s v="AM"/>
    <x v="7"/>
  </r>
  <r>
    <d v="2026-06-03T00:00:00"/>
    <x v="105"/>
    <s v="AM"/>
    <x v="7"/>
  </r>
  <r>
    <d v="2026-06-03T00:00:00"/>
    <x v="111"/>
    <s v="AM"/>
    <x v="7"/>
  </r>
  <r>
    <d v="2026-06-03T00:00:00"/>
    <x v="103"/>
    <s v="AM"/>
    <x v="7"/>
  </r>
  <r>
    <d v="2026-06-03T00:00:00"/>
    <x v="106"/>
    <s v="AM"/>
    <x v="7"/>
  </r>
  <r>
    <d v="2026-06-03T00:00:00"/>
    <x v="114"/>
    <s v="DAY"/>
    <x v="7"/>
  </r>
  <r>
    <d v="2026-06-03T00:00:00"/>
    <x v="115"/>
    <s v="AM"/>
    <x v="7"/>
  </r>
  <r>
    <d v="2026-06-03T00:00:00"/>
    <x v="116"/>
    <s v="AM"/>
    <x v="7"/>
  </r>
  <r>
    <d v="2026-06-03T00:00:00"/>
    <x v="118"/>
    <s v="AM"/>
    <x v="7"/>
  </r>
  <r>
    <d v="2026-06-03T00:00:00"/>
    <x v="121"/>
    <s v="AM"/>
    <x v="7"/>
  </r>
  <r>
    <d v="2026-06-03T00:00:00"/>
    <x v="107"/>
    <s v="AM"/>
    <x v="7"/>
  </r>
  <r>
    <d v="2026-06-03T00:00:00"/>
    <x v="108"/>
    <s v="AM"/>
    <x v="7"/>
  </r>
  <r>
    <d v="2026-06-03T00:00:00"/>
    <x v="102"/>
    <s v="AM"/>
    <x v="7"/>
  </r>
  <r>
    <d v="2026-06-03T00:00:00"/>
    <x v="123"/>
    <s v="AM"/>
    <x v="7"/>
  </r>
  <r>
    <d v="2026-06-03T00:00:00"/>
    <x v="124"/>
    <s v="AM"/>
    <x v="7"/>
  </r>
  <r>
    <d v="2026-06-03T00:00:00"/>
    <x v="125"/>
    <s v="DAY"/>
    <x v="7"/>
  </r>
  <r>
    <d v="2026-06-03T00:00:00"/>
    <x v="127"/>
    <s v="AM"/>
    <x v="7"/>
  </r>
  <r>
    <d v="2026-06-03T00:00:00"/>
    <x v="128"/>
    <s v="AM"/>
    <x v="7"/>
  </r>
  <r>
    <d v="2026-06-03T00:00:00"/>
    <x v="129"/>
    <s v="AM"/>
    <x v="7"/>
  </r>
  <r>
    <d v="2026-06-03T00:00:00"/>
    <x v="130"/>
    <s v="AM"/>
    <x v="7"/>
  </r>
  <r>
    <d v="2026-06-03T00:00:00"/>
    <x v="149"/>
    <s v="PM"/>
    <x v="4"/>
  </r>
  <r>
    <d v="2026-06-03T00:00:00"/>
    <x v="150"/>
    <s v="PM"/>
    <x v="5"/>
  </r>
  <r>
    <d v="2026-06-03T00:00:00"/>
    <x v="135"/>
    <s v="PM"/>
    <x v="6"/>
  </r>
  <r>
    <d v="2026-06-03T00:00:00"/>
    <x v="142"/>
    <s v="PM"/>
    <x v="6"/>
  </r>
  <r>
    <d v="2026-06-03T00:00:00"/>
    <x v="132"/>
    <s v="PM"/>
    <x v="6"/>
  </r>
  <r>
    <d v="2026-06-03T00:00:00"/>
    <x v="144"/>
    <s v="PM"/>
    <x v="6"/>
  </r>
  <r>
    <d v="2026-06-03T00:00:00"/>
    <x v="145"/>
    <s v="PM"/>
    <x v="6"/>
  </r>
  <r>
    <d v="2026-06-03T00:00:00"/>
    <x v="137"/>
    <s v="PM"/>
    <x v="6"/>
  </r>
  <r>
    <d v="2026-06-03T00:00:00"/>
    <x v="146"/>
    <s v="PM"/>
    <x v="6"/>
  </r>
  <r>
    <d v="2026-06-03T00:00:00"/>
    <x v="139"/>
    <s v="PM"/>
    <x v="6"/>
  </r>
  <r>
    <d v="2026-06-03T00:00:00"/>
    <x v="154"/>
    <s v="PM"/>
    <x v="6"/>
  </r>
  <r>
    <d v="2026-06-03T00:00:00"/>
    <x v="133"/>
    <s v="PM"/>
    <x v="7"/>
  </r>
  <r>
    <d v="2026-06-03T00:00:00"/>
    <x v="134"/>
    <s v="PM"/>
    <x v="7"/>
  </r>
  <r>
    <d v="2026-06-03T00:00:00"/>
    <x v="143"/>
    <s v="PM"/>
    <x v="7"/>
  </r>
  <r>
    <d v="2026-06-03T00:00:00"/>
    <x v="136"/>
    <s v="PM"/>
    <x v="7"/>
  </r>
  <r>
    <d v="2026-06-03T00:00:00"/>
    <x v="138"/>
    <s v="PM"/>
    <x v="7"/>
  </r>
  <r>
    <d v="2026-06-03T00:00:00"/>
    <x v="147"/>
    <s v="PM"/>
    <x v="7"/>
  </r>
  <r>
    <d v="2026-06-03T00:00:00"/>
    <x v="148"/>
    <s v="PM"/>
    <x v="7"/>
  </r>
  <r>
    <d v="2026-06-03T00:00:00"/>
    <x v="151"/>
    <s v="PM"/>
    <x v="7"/>
  </r>
  <r>
    <d v="2026-06-03T00:00:00"/>
    <x v="152"/>
    <s v="PM"/>
    <x v="7"/>
  </r>
  <r>
    <d v="2026-06-03T00:00:00"/>
    <x v="140"/>
    <s v="PM"/>
    <x v="7"/>
  </r>
  <r>
    <d v="2026-06-03T00:00:00"/>
    <x v="153"/>
    <s v="PM"/>
    <x v="7"/>
  </r>
  <r>
    <d v="2026-06-03T00:00:00"/>
    <x v="141"/>
    <s v="PM"/>
    <x v="7"/>
  </r>
  <r>
    <d v="2026-06-03T00:00:00"/>
    <x v="155"/>
    <s v="PM"/>
    <x v="7"/>
  </r>
  <r>
    <d v="2026-06-03T00:00:00"/>
    <x v="156"/>
    <s v="PM"/>
    <x v="7"/>
  </r>
  <r>
    <d v="2026-06-03T00:00:00"/>
    <x v="131"/>
    <s v="PM"/>
    <x v="7"/>
  </r>
  <r>
    <d v="2026-06-03T00:00:00"/>
    <x v="10"/>
    <s v="AM"/>
    <x v="0"/>
  </r>
  <r>
    <d v="2026-06-03T00:00:00"/>
    <x v="24"/>
    <s v="MI-TEMPS"/>
    <x v="0"/>
  </r>
  <r>
    <d v="2026-06-03T00:00:00"/>
    <x v="25"/>
    <s v="MI-TEMPS"/>
    <x v="0"/>
  </r>
  <r>
    <d v="2026-06-03T00:00:00"/>
    <x v="29"/>
    <s v="AM"/>
    <x v="0"/>
  </r>
  <r>
    <d v="2026-06-03T00:00:00"/>
    <x v="34"/>
    <s v="AM"/>
    <x v="0"/>
  </r>
  <r>
    <d v="2026-06-03T00:00:00"/>
    <x v="39"/>
    <s v="AM"/>
    <x v="0"/>
  </r>
  <r>
    <d v="2026-06-03T00:00:00"/>
    <x v="40"/>
    <s v="AM"/>
    <x v="0"/>
  </r>
  <r>
    <d v="2026-06-03T00:00:00"/>
    <x v="41"/>
    <s v="AM"/>
    <x v="0"/>
  </r>
  <r>
    <d v="2026-06-03T00:00:00"/>
    <x v="49"/>
    <s v="AM"/>
    <x v="0"/>
  </r>
  <r>
    <d v="2026-06-03T00:00:00"/>
    <x v="5"/>
    <s v="AM"/>
    <x v="0"/>
  </r>
  <r>
    <d v="2026-06-03T00:00:00"/>
    <x v="19"/>
    <s v="AM"/>
    <x v="1"/>
  </r>
  <r>
    <d v="2026-06-03T00:00:00"/>
    <x v="28"/>
    <s v="AM"/>
    <x v="1"/>
  </r>
  <r>
    <d v="2026-06-03T00:00:00"/>
    <x v="2"/>
    <s v="AM"/>
    <x v="1"/>
  </r>
  <r>
    <d v="2026-06-03T00:00:00"/>
    <x v="47"/>
    <s v="AM"/>
    <x v="1"/>
  </r>
  <r>
    <d v="2026-06-03T00:00:00"/>
    <x v="14"/>
    <s v="AM"/>
    <x v="2"/>
  </r>
  <r>
    <d v="2026-06-03T00:00:00"/>
    <x v="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18"/>
    <s v="AM"/>
    <x v="2"/>
  </r>
  <r>
    <d v="2026-06-03T00:00:00"/>
    <x v="20"/>
    <s v="AM"/>
    <x v="2"/>
  </r>
  <r>
    <d v="2026-06-03T00:00:00"/>
    <x v="21"/>
    <s v="AM"/>
    <x v="2"/>
  </r>
  <r>
    <d v="2026-06-03T00:00:00"/>
    <x v="22"/>
    <s v="AM"/>
    <x v="2"/>
  </r>
  <r>
    <d v="2026-06-03T00:00:00"/>
    <x v="1"/>
    <s v="AM"/>
    <x v="2"/>
  </r>
  <r>
    <d v="2026-06-03T00:00:00"/>
    <x v="23"/>
    <s v="AM"/>
    <x v="2"/>
  </r>
  <r>
    <d v="2026-06-03T00:00:00"/>
    <x v="26"/>
    <s v="AM"/>
    <x v="2"/>
  </r>
  <r>
    <d v="2026-06-03T00:00:00"/>
    <x v="11"/>
    <s v="AM"/>
    <x v="2"/>
  </r>
  <r>
    <d v="2026-06-03T00:00:00"/>
    <x v="27"/>
    <s v="MI-TEMPS"/>
    <x v="2"/>
  </r>
  <r>
    <d v="2026-06-03T00:00:00"/>
    <x v="30"/>
    <s v="DAY"/>
    <x v="2"/>
  </r>
  <r>
    <d v="2026-06-03T00:00:00"/>
    <x v="31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"/>
    <s v="AM"/>
    <x v="2"/>
  </r>
  <r>
    <d v="2026-06-03T00:00:00"/>
    <x v="12"/>
    <s v="AM"/>
    <x v="2"/>
  </r>
  <r>
    <d v="2026-06-03T00:00:00"/>
    <x v="35"/>
    <s v="AM"/>
    <x v="2"/>
  </r>
  <r>
    <d v="2026-06-03T00:00:00"/>
    <x v="36"/>
    <s v="AM"/>
    <x v="2"/>
  </r>
  <r>
    <d v="2026-06-03T00:00:00"/>
    <x v="37"/>
    <s v="DAY"/>
    <x v="2"/>
  </r>
  <r>
    <d v="2026-06-03T00:00:00"/>
    <x v="38"/>
    <s v="AM"/>
    <x v="2"/>
  </r>
  <r>
    <d v="2026-06-03T00:00:00"/>
    <x v="13"/>
    <s v="AM"/>
    <x v="2"/>
  </r>
  <r>
    <d v="2026-06-03T00:00:00"/>
    <x v="4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8"/>
    <s v="MI-TEMPS"/>
    <x v="2"/>
  </r>
  <r>
    <d v="2026-06-03T00:00:00"/>
    <x v="50"/>
    <s v="AM"/>
    <x v="2"/>
  </r>
  <r>
    <d v="2026-06-03T00:00:00"/>
    <x v="6"/>
    <s v="AM"/>
    <x v="2"/>
  </r>
  <r>
    <d v="2026-06-03T00:00:00"/>
    <x v="7"/>
    <s v="AM"/>
    <x v="2"/>
  </r>
  <r>
    <d v="2026-06-03T00:00:00"/>
    <x v="8"/>
    <s v="AM"/>
    <x v="2"/>
  </r>
  <r>
    <d v="2026-06-03T00:00:00"/>
    <x v="9"/>
    <s v="AM"/>
    <x v="2"/>
  </r>
  <r>
    <d v="2026-06-03T00:00:00"/>
    <x v="51"/>
    <s v="DAY"/>
    <x v="2"/>
  </r>
  <r>
    <d v="2026-06-03T00:00:00"/>
    <x v="52"/>
    <s v="AM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83"/>
    <s v="PM"/>
    <x v="0"/>
  </r>
  <r>
    <d v="2026-06-03T00:00:00"/>
    <x v="65"/>
    <s v="PM"/>
    <x v="0"/>
  </r>
  <r>
    <d v="2026-06-03T00:00:00"/>
    <x v="84"/>
    <s v="PM"/>
    <x v="0"/>
  </r>
  <r>
    <d v="2026-06-03T00:00:00"/>
    <x v="66"/>
    <s v="PM"/>
    <x v="0"/>
  </r>
  <r>
    <d v="2026-06-03T00:00:00"/>
    <x v="88"/>
    <s v="PM"/>
    <x v="0"/>
  </r>
  <r>
    <d v="2026-06-03T00:00:00"/>
    <x v="91"/>
    <s v="PM"/>
    <x v="0"/>
  </r>
  <r>
    <d v="2026-06-03T00:00:00"/>
    <x v="67"/>
    <s v="PM"/>
    <x v="0"/>
  </r>
  <r>
    <d v="2026-06-03T00:00:00"/>
    <x v="71"/>
    <s v="PM"/>
    <x v="0"/>
  </r>
  <r>
    <d v="2026-06-03T00:00:00"/>
    <x v="95"/>
    <s v="PM"/>
    <x v="0"/>
  </r>
  <r>
    <d v="2026-06-03T00:00:00"/>
    <x v="96"/>
    <s v="PM"/>
    <x v="0"/>
  </r>
  <r>
    <d v="2026-06-03T00:00:00"/>
    <x v="74"/>
    <s v="PM"/>
    <x v="1"/>
  </r>
  <r>
    <d v="2026-06-03T00:00:00"/>
    <x v="79"/>
    <s v="PM"/>
    <x v="1"/>
  </r>
  <r>
    <d v="2026-06-03T00:00:00"/>
    <x v="64"/>
    <s v="PM"/>
    <x v="1"/>
  </r>
  <r>
    <d v="2026-06-03T00:00:00"/>
    <x v="86"/>
    <s v="PM"/>
    <x v="1"/>
  </r>
  <r>
    <d v="2026-06-03T00:00:00"/>
    <x v="73"/>
    <s v="PM"/>
    <x v="2"/>
  </r>
  <r>
    <d v="2026-06-03T00:00:00"/>
    <x v="59"/>
    <s v="PM"/>
    <x v="2"/>
  </r>
  <r>
    <d v="2026-06-03T00:00:00"/>
    <x v="75"/>
    <s v="PM"/>
    <x v="2"/>
  </r>
  <r>
    <d v="2026-06-03T00:00:00"/>
    <x v="60"/>
    <s v="PM"/>
    <x v="2"/>
  </r>
  <r>
    <d v="2026-06-03T00:00:00"/>
    <x v="76"/>
    <s v="PM"/>
    <x v="2"/>
  </r>
  <r>
    <d v="2026-06-03T00:00:00"/>
    <x v="77"/>
    <s v="PM"/>
    <x v="2"/>
  </r>
  <r>
    <d v="2026-06-03T00:00:00"/>
    <x v="78"/>
    <s v="PM"/>
    <x v="2"/>
  </r>
  <r>
    <d v="2026-06-03T00:00:00"/>
    <x v="61"/>
    <s v="PM"/>
    <x v="2"/>
  </r>
  <r>
    <d v="2026-06-03T00:00:00"/>
    <x v="80"/>
    <s v="PM"/>
    <x v="2"/>
  </r>
  <r>
    <d v="2026-06-03T00:00:00"/>
    <x v="81"/>
    <s v="PM"/>
    <x v="2"/>
  </r>
  <r>
    <d v="2026-06-03T00:00:00"/>
    <x v="62"/>
    <s v="PM"/>
    <x v="2"/>
  </r>
  <r>
    <d v="2026-06-03T00:00:00"/>
    <x v="82"/>
    <s v="PM"/>
    <x v="2"/>
  </r>
  <r>
    <d v="2026-06-03T00:00:00"/>
    <x v="63"/>
    <s v="PM"/>
    <x v="2"/>
  </r>
  <r>
    <d v="2026-06-03T00:00:00"/>
    <x v="85"/>
    <s v="PM"/>
    <x v="2"/>
  </r>
  <r>
    <d v="2026-06-03T00:00:00"/>
    <x v="87"/>
    <s v="PM"/>
    <x v="2"/>
  </r>
  <r>
    <d v="2026-06-03T00:00:00"/>
    <x v="89"/>
    <s v="PM"/>
    <x v="2"/>
  </r>
  <r>
    <d v="2026-06-03T00:00:00"/>
    <x v="90"/>
    <s v="PM"/>
    <x v="2"/>
  </r>
  <r>
    <d v="2026-06-03T00:00:00"/>
    <x v="69"/>
    <s v="PM"/>
    <x v="2"/>
  </r>
  <r>
    <d v="2026-06-03T00:00:00"/>
    <x v="70"/>
    <s v="PM"/>
    <x v="2"/>
  </r>
  <r>
    <d v="2026-06-03T00:00:00"/>
    <x v="68"/>
    <s v="PM"/>
    <x v="2"/>
  </r>
  <r>
    <d v="2026-06-03T00:00:00"/>
    <x v="92"/>
    <s v="PM"/>
    <x v="2"/>
  </r>
  <r>
    <d v="2026-06-03T00:00:00"/>
    <x v="93"/>
    <s v="PM"/>
    <x v="2"/>
  </r>
  <r>
    <d v="2026-06-03T00:00:00"/>
    <x v="72"/>
    <s v="PM"/>
    <x v="2"/>
  </r>
  <r>
    <d v="2026-06-03T00:00:00"/>
    <x v="94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21"/>
    <s v="AM"/>
    <x v="4"/>
  </r>
  <r>
    <d v="2026-06-03T00:00:00"/>
    <x v="106"/>
    <s v="AM"/>
    <x v="5"/>
  </r>
  <r>
    <d v="2026-06-03T00:00:00"/>
    <x v="104"/>
    <s v="AM"/>
    <x v="6"/>
  </r>
  <r>
    <d v="2026-06-03T00:00:00"/>
    <x v="117"/>
    <s v="AM"/>
    <x v="6"/>
  </r>
  <r>
    <d v="2026-06-03T00:00:00"/>
    <x v="118"/>
    <s v="AM"/>
    <x v="6"/>
  </r>
  <r>
    <d v="2026-06-03T00:00:00"/>
    <x v="107"/>
    <s v="AM"/>
    <x v="6"/>
  </r>
  <r>
    <d v="2026-06-03T00:00:00"/>
    <x v="127"/>
    <s v="AM"/>
    <x v="6"/>
  </r>
  <r>
    <d v="2026-06-03T00:00:00"/>
    <x v="128"/>
    <s v="AM"/>
    <x v="6"/>
  </r>
  <r>
    <d v="2026-06-03T00:00:00"/>
    <x v="110"/>
    <s v="AM"/>
    <x v="7"/>
  </r>
  <r>
    <d v="2026-06-03T00:00:00"/>
    <x v="105"/>
    <s v="AM"/>
    <x v="7"/>
  </r>
  <r>
    <d v="2026-06-03T00:00:00"/>
    <x v="111"/>
    <s v="AM"/>
    <x v="7"/>
  </r>
  <r>
    <d v="2026-06-03T00:00:00"/>
    <x v="103"/>
    <s v="AM"/>
    <x v="7"/>
  </r>
  <r>
    <d v="2026-06-03T00:00:00"/>
    <x v="112"/>
    <s v="DAY"/>
    <x v="7"/>
  </r>
  <r>
    <d v="2026-06-03T00:00:00"/>
    <x v="113"/>
    <s v="AM"/>
    <x v="7"/>
  </r>
  <r>
    <d v="2026-06-03T00:00:00"/>
    <x v="114"/>
    <s v="DAY"/>
    <x v="7"/>
  </r>
  <r>
    <d v="2026-06-03T00:00:00"/>
    <x v="115"/>
    <s v="AM"/>
    <x v="7"/>
  </r>
  <r>
    <d v="2026-06-03T00:00:00"/>
    <x v="116"/>
    <s v="AM"/>
    <x v="7"/>
  </r>
  <r>
    <d v="2026-06-03T00:00:00"/>
    <x v="119"/>
    <s v="AM"/>
    <x v="7"/>
  </r>
  <r>
    <d v="2026-06-03T00:00:00"/>
    <x v="120"/>
    <s v="AM"/>
    <x v="7"/>
  </r>
  <r>
    <d v="2026-06-03T00:00:00"/>
    <x v="122"/>
    <s v="AM"/>
    <x v="7"/>
  </r>
  <r>
    <d v="2026-06-03T00:00:00"/>
    <x v="108"/>
    <s v="AM"/>
    <x v="7"/>
  </r>
  <r>
    <d v="2026-06-03T00:00:00"/>
    <x v="102"/>
    <s v="AM"/>
    <x v="7"/>
  </r>
  <r>
    <d v="2026-06-03T00:00:00"/>
    <x v="109"/>
    <s v="AM"/>
    <x v="7"/>
  </r>
  <r>
    <d v="2026-06-03T00:00:00"/>
    <x v="123"/>
    <s v="AM"/>
    <x v="7"/>
  </r>
  <r>
    <d v="2026-06-03T00:00:00"/>
    <x v="124"/>
    <s v="AM"/>
    <x v="7"/>
  </r>
  <r>
    <d v="2026-06-03T00:00:00"/>
    <x v="125"/>
    <s v="DAY"/>
    <x v="7"/>
  </r>
  <r>
    <d v="2026-06-03T00:00:00"/>
    <x v="126"/>
    <s v="AM"/>
    <x v="7"/>
  </r>
  <r>
    <d v="2026-06-03T00:00:00"/>
    <x v="129"/>
    <s v="AM"/>
    <x v="7"/>
  </r>
  <r>
    <d v="2026-06-03T00:00:00"/>
    <x v="130"/>
    <s v="AM"/>
    <x v="7"/>
  </r>
  <r>
    <d v="2026-06-03T00:00:00"/>
    <x v="136"/>
    <s v="PM"/>
    <x v="4"/>
  </r>
  <r>
    <d v="2026-06-03T00:00:00"/>
    <x v="137"/>
    <s v="PM"/>
    <x v="5"/>
  </r>
  <r>
    <d v="2026-06-03T00:00:00"/>
    <x v="133"/>
    <s v="PM"/>
    <x v="6"/>
  </r>
  <r>
    <d v="2026-06-03T00:00:00"/>
    <x v="143"/>
    <s v="PM"/>
    <x v="6"/>
  </r>
  <r>
    <d v="2026-06-03T00:00:00"/>
    <x v="148"/>
    <s v="PM"/>
    <x v="6"/>
  </r>
  <r>
    <d v="2026-06-03T00:00:00"/>
    <x v="149"/>
    <s v="PM"/>
    <x v="6"/>
  </r>
  <r>
    <d v="2026-06-03T00:00:00"/>
    <x v="150"/>
    <s v="PM"/>
    <x v="6"/>
  </r>
  <r>
    <d v="2026-06-03T00:00:00"/>
    <x v="151"/>
    <s v="PM"/>
    <x v="6"/>
  </r>
  <r>
    <d v="2026-06-03T00:00:00"/>
    <x v="152"/>
    <s v="PM"/>
    <x v="6"/>
  </r>
  <r>
    <d v="2026-06-03T00:00:00"/>
    <x v="141"/>
    <s v="PM"/>
    <x v="6"/>
  </r>
  <r>
    <d v="2026-06-03T00:00:00"/>
    <x v="156"/>
    <s v="PM"/>
    <x v="6"/>
  </r>
  <r>
    <d v="2026-06-03T00:00:00"/>
    <x v="134"/>
    <s v="PM"/>
    <x v="7"/>
  </r>
  <r>
    <d v="2026-06-03T00:00:00"/>
    <x v="135"/>
    <s v="PM"/>
    <x v="7"/>
  </r>
  <r>
    <d v="2026-06-03T00:00:00"/>
    <x v="142"/>
    <s v="PM"/>
    <x v="7"/>
  </r>
  <r>
    <d v="2026-06-03T00:00:00"/>
    <x v="132"/>
    <s v="PM"/>
    <x v="7"/>
  </r>
  <r>
    <d v="2026-06-03T00:00:00"/>
    <x v="144"/>
    <s v="PM"/>
    <x v="7"/>
  </r>
  <r>
    <d v="2026-06-03T00:00:00"/>
    <x v="145"/>
    <s v="PM"/>
    <x v="7"/>
  </r>
  <r>
    <d v="2026-06-03T00:00:00"/>
    <x v="146"/>
    <s v="PM"/>
    <x v="7"/>
  </r>
  <r>
    <d v="2026-06-03T00:00:00"/>
    <x v="138"/>
    <s v="PM"/>
    <x v="7"/>
  </r>
  <r>
    <d v="2026-06-03T00:00:00"/>
    <x v="147"/>
    <s v="PM"/>
    <x v="7"/>
  </r>
  <r>
    <d v="2026-06-03T00:00:00"/>
    <x v="139"/>
    <s v="PM"/>
    <x v="7"/>
  </r>
  <r>
    <d v="2026-06-03T00:00:00"/>
    <x v="140"/>
    <s v="PM"/>
    <x v="7"/>
  </r>
  <r>
    <d v="2026-06-03T00:00:00"/>
    <x v="153"/>
    <s v="PM"/>
    <x v="7"/>
  </r>
  <r>
    <d v="2026-06-03T00:00:00"/>
    <x v="154"/>
    <s v="PM"/>
    <x v="7"/>
  </r>
  <r>
    <d v="2026-06-03T00:00:00"/>
    <x v="155"/>
    <s v="PM"/>
    <x v="7"/>
  </r>
  <r>
    <d v="2026-06-03T00:00:00"/>
    <x v="131"/>
    <s v="PM"/>
    <x v="7"/>
  </r>
  <r>
    <d v="2026-06-03T00:00:00"/>
    <x v="0"/>
    <s v="AM"/>
    <x v="0"/>
  </r>
  <r>
    <d v="2026-06-03T00:00:00"/>
    <x v="15"/>
    <s v="AM"/>
    <x v="0"/>
  </r>
  <r>
    <d v="2026-06-03T00:00:00"/>
    <x v="18"/>
    <s v="AM"/>
    <x v="0"/>
  </r>
  <r>
    <d v="2026-06-03T00:00:00"/>
    <x v="26"/>
    <s v="AM"/>
    <x v="0"/>
  </r>
  <r>
    <d v="2026-06-03T00:00:00"/>
    <x v="11"/>
    <s v="AM"/>
    <x v="0"/>
  </r>
  <r>
    <d v="2026-06-03T00:00:00"/>
    <x v="30"/>
    <s v="DAY"/>
    <x v="0"/>
  </r>
  <r>
    <d v="2026-06-03T00:00:00"/>
    <x v="2"/>
    <s v="AM"/>
    <x v="0"/>
  </r>
  <r>
    <d v="2026-06-03T00:00:00"/>
    <x v="36"/>
    <s v="AM"/>
    <x v="0"/>
  </r>
  <r>
    <d v="2026-06-03T00:00:00"/>
    <x v="52"/>
    <s v="AM"/>
    <x v="0"/>
  </r>
  <r>
    <d v="2026-06-03T00:00:00"/>
    <x v="54"/>
    <s v="DAY"/>
    <x v="0"/>
  </r>
  <r>
    <d v="2026-06-03T00:00:00"/>
    <x v="20"/>
    <s v="AM"/>
    <x v="1"/>
  </r>
  <r>
    <d v="2026-06-03T00:00:00"/>
    <x v="49"/>
    <s v="AM"/>
    <x v="1"/>
  </r>
  <r>
    <d v="2026-06-03T00:00:00"/>
    <x v="7"/>
    <s v="AM"/>
    <x v="1"/>
  </r>
  <r>
    <d v="2026-06-03T00:00:00"/>
    <x v="51"/>
    <s v="DAY"/>
    <x v="1"/>
  </r>
  <r>
    <d v="2026-06-03T00:00:00"/>
    <x v="10"/>
    <s v="AM"/>
    <x v="2"/>
  </r>
  <r>
    <d v="2026-06-03T00:00:00"/>
    <x v="14"/>
    <s v="AM"/>
    <x v="2"/>
  </r>
  <r>
    <d v="2026-06-03T00:00:00"/>
    <x v="16"/>
    <s v="DAY"/>
    <x v="2"/>
  </r>
  <r>
    <d v="2026-06-03T00:00:00"/>
    <x v="17"/>
    <s v="AM"/>
    <x v="2"/>
  </r>
  <r>
    <d v="2026-06-03T00:00:00"/>
    <x v="19"/>
    <s v="AM"/>
    <x v="2"/>
  </r>
  <r>
    <d v="2026-06-03T00:00:00"/>
    <x v="21"/>
    <s v="AM"/>
    <x v="2"/>
  </r>
  <r>
    <d v="2026-06-03T00:00:00"/>
    <x v="22"/>
    <s v="AM"/>
    <x v="2"/>
  </r>
  <r>
    <d v="2026-06-03T00:00:00"/>
    <x v="1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7"/>
    <s v="MI-TEMPS"/>
    <x v="2"/>
  </r>
  <r>
    <d v="2026-06-03T00:00:00"/>
    <x v="28"/>
    <s v="AM"/>
    <x v="2"/>
  </r>
  <r>
    <d v="2026-06-03T00:00:00"/>
    <x v="29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"/>
    <s v="AM"/>
    <x v="2"/>
  </r>
  <r>
    <d v="2026-06-03T00:00:00"/>
    <x v="34"/>
    <s v="AM"/>
    <x v="2"/>
  </r>
  <r>
    <d v="2026-06-03T00:00:00"/>
    <x v="12"/>
    <s v="AM"/>
    <x v="2"/>
  </r>
  <r>
    <d v="2026-06-03T00:00:00"/>
    <x v="35"/>
    <s v="AM"/>
    <x v="2"/>
  </r>
  <r>
    <d v="2026-06-03T00:00:00"/>
    <x v="37"/>
    <s v="DAY"/>
    <x v="2"/>
  </r>
  <r>
    <d v="2026-06-03T00:00:00"/>
    <x v="38"/>
    <s v="AM"/>
    <x v="2"/>
  </r>
  <r>
    <d v="2026-06-03T00:00:00"/>
    <x v="39"/>
    <s v="AM"/>
    <x v="2"/>
  </r>
  <r>
    <d v="2026-06-03T00:00:00"/>
    <x v="40"/>
    <s v="AM"/>
    <x v="2"/>
  </r>
  <r>
    <d v="2026-06-03T00:00:00"/>
    <x v="13"/>
    <s v="AM"/>
    <x v="2"/>
  </r>
  <r>
    <d v="2026-06-03T00:00:00"/>
    <x v="4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7"/>
    <s v="AM"/>
    <x v="2"/>
  </r>
  <r>
    <d v="2026-06-03T00:00:00"/>
    <x v="48"/>
    <s v="MI-TEMPS"/>
    <x v="2"/>
  </r>
  <r>
    <d v="2026-06-03T00:00:00"/>
    <x v="50"/>
    <s v="AM"/>
    <x v="2"/>
  </r>
  <r>
    <d v="2026-06-03T00:00:00"/>
    <x v="5"/>
    <s v="AM"/>
    <x v="2"/>
  </r>
  <r>
    <d v="2026-06-03T00:00:00"/>
    <x v="6"/>
    <s v="AM"/>
    <x v="2"/>
  </r>
  <r>
    <d v="2026-06-03T00:00:00"/>
    <x v="8"/>
    <s v="AM"/>
    <x v="2"/>
  </r>
  <r>
    <d v="2026-06-03T00:00:00"/>
    <x v="9"/>
    <s v="AM"/>
    <x v="2"/>
  </r>
  <r>
    <d v="2026-06-03T00:00:00"/>
    <x v="53"/>
    <s v="MI-TEMPS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4"/>
    <s v="PM"/>
    <x v="0"/>
  </r>
  <r>
    <d v="2026-06-03T00:00:00"/>
    <x v="80"/>
    <s v="PM"/>
    <x v="0"/>
  </r>
  <r>
    <d v="2026-06-03T00:00:00"/>
    <x v="81"/>
    <s v="PM"/>
    <x v="0"/>
  </r>
  <r>
    <d v="2026-06-03T00:00:00"/>
    <x v="83"/>
    <s v="PM"/>
    <x v="0"/>
  </r>
  <r>
    <d v="2026-06-03T00:00:00"/>
    <x v="63"/>
    <s v="PM"/>
    <x v="0"/>
  </r>
  <r>
    <d v="2026-06-03T00:00:00"/>
    <x v="85"/>
    <s v="PM"/>
    <x v="0"/>
  </r>
  <r>
    <d v="2026-06-03T00:00:00"/>
    <x v="86"/>
    <s v="PM"/>
    <x v="0"/>
  </r>
  <r>
    <d v="2026-06-03T00:00:00"/>
    <x v="90"/>
    <s v="PM"/>
    <x v="0"/>
  </r>
  <r>
    <d v="2026-06-03T00:00:00"/>
    <x v="70"/>
    <s v="PM"/>
    <x v="0"/>
  </r>
  <r>
    <d v="2026-06-03T00:00:00"/>
    <x v="72"/>
    <s v="PM"/>
    <x v="0"/>
  </r>
  <r>
    <d v="2026-06-03T00:00:00"/>
    <x v="61"/>
    <s v="PM"/>
    <x v="1"/>
  </r>
  <r>
    <d v="2026-06-03T00:00:00"/>
    <x v="67"/>
    <s v="PM"/>
    <x v="1"/>
  </r>
  <r>
    <d v="2026-06-03T00:00:00"/>
    <x v="94"/>
    <s v="PM"/>
    <x v="1"/>
  </r>
  <r>
    <d v="2026-06-03T00:00:00"/>
    <x v="95"/>
    <s v="PM"/>
    <x v="1"/>
  </r>
  <r>
    <d v="2026-06-03T00:00:00"/>
    <x v="73"/>
    <s v="PM"/>
    <x v="2"/>
  </r>
  <r>
    <d v="2026-06-03T00:00:00"/>
    <x v="59"/>
    <s v="PM"/>
    <x v="2"/>
  </r>
  <r>
    <d v="2026-06-03T00:00:00"/>
    <x v="75"/>
    <s v="PM"/>
    <x v="2"/>
  </r>
  <r>
    <d v="2026-06-03T00:00:00"/>
    <x v="60"/>
    <s v="PM"/>
    <x v="2"/>
  </r>
  <r>
    <d v="2026-06-03T00:00:00"/>
    <x v="76"/>
    <s v="PM"/>
    <x v="2"/>
  </r>
  <r>
    <d v="2026-06-03T00:00:00"/>
    <x v="77"/>
    <s v="PM"/>
    <x v="2"/>
  </r>
  <r>
    <d v="2026-06-03T00:00:00"/>
    <x v="78"/>
    <s v="PM"/>
    <x v="2"/>
  </r>
  <r>
    <d v="2026-06-03T00:00:00"/>
    <x v="79"/>
    <s v="PM"/>
    <x v="2"/>
  </r>
  <r>
    <d v="2026-06-03T00:00:00"/>
    <x v="62"/>
    <s v="PM"/>
    <x v="2"/>
  </r>
  <r>
    <d v="2026-06-03T00:00:00"/>
    <x v="82"/>
    <s v="PM"/>
    <x v="2"/>
  </r>
  <r>
    <d v="2026-06-03T00:00:00"/>
    <x v="64"/>
    <s v="PM"/>
    <x v="2"/>
  </r>
  <r>
    <d v="2026-06-03T00:00:00"/>
    <x v="65"/>
    <s v="PM"/>
    <x v="2"/>
  </r>
  <r>
    <d v="2026-06-03T00:00:00"/>
    <x v="84"/>
    <s v="PM"/>
    <x v="2"/>
  </r>
  <r>
    <d v="2026-06-03T00:00:00"/>
    <x v="66"/>
    <s v="PM"/>
    <x v="2"/>
  </r>
  <r>
    <d v="2026-06-03T00:00:00"/>
    <x v="87"/>
    <s v="PM"/>
    <x v="2"/>
  </r>
  <r>
    <d v="2026-06-03T00:00:00"/>
    <x v="88"/>
    <s v="PM"/>
    <x v="2"/>
  </r>
  <r>
    <d v="2026-06-03T00:00:00"/>
    <x v="89"/>
    <s v="PM"/>
    <x v="2"/>
  </r>
  <r>
    <d v="2026-06-03T00:00:00"/>
    <x v="69"/>
    <s v="PM"/>
    <x v="2"/>
  </r>
  <r>
    <d v="2026-06-03T00:00:00"/>
    <x v="91"/>
    <s v="PM"/>
    <x v="2"/>
  </r>
  <r>
    <d v="2026-06-03T00:00:00"/>
    <x v="71"/>
    <s v="PM"/>
    <x v="2"/>
  </r>
  <r>
    <d v="2026-06-03T00:00:00"/>
    <x v="68"/>
    <s v="PM"/>
    <x v="2"/>
  </r>
  <r>
    <d v="2026-06-03T00:00:00"/>
    <x v="92"/>
    <s v="PM"/>
    <x v="2"/>
  </r>
  <r>
    <d v="2026-06-03T00:00:00"/>
    <x v="93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28"/>
    <s v="AM"/>
    <x v="4"/>
  </r>
  <r>
    <d v="2026-06-03T00:00:00"/>
    <x v="127"/>
    <s v="AM"/>
    <x v="5"/>
  </r>
  <r>
    <d v="2026-06-03T00:00:00"/>
    <x v="110"/>
    <s v="AM"/>
    <x v="6"/>
  </r>
  <r>
    <d v="2026-06-03T00:00:00"/>
    <x v="106"/>
    <s v="AM"/>
    <x v="6"/>
  </r>
  <r>
    <d v="2026-06-03T00:00:00"/>
    <x v="108"/>
    <s v="AM"/>
    <x v="6"/>
  </r>
  <r>
    <d v="2026-06-03T00:00:00"/>
    <x v="124"/>
    <s v="AM"/>
    <x v="6"/>
  </r>
  <r>
    <d v="2026-06-03T00:00:00"/>
    <x v="126"/>
    <s v="AM"/>
    <x v="6"/>
  </r>
  <r>
    <d v="2026-06-03T00:00:00"/>
    <x v="129"/>
    <s v="AM"/>
    <x v="6"/>
  </r>
  <r>
    <d v="2026-06-03T00:00:00"/>
    <x v="104"/>
    <s v="AM"/>
    <x v="7"/>
  </r>
  <r>
    <d v="2026-06-03T00:00:00"/>
    <x v="105"/>
    <s v="AM"/>
    <x v="7"/>
  </r>
  <r>
    <d v="2026-06-03T00:00:00"/>
    <x v="111"/>
    <s v="AM"/>
    <x v="7"/>
  </r>
  <r>
    <d v="2026-06-03T00:00:00"/>
    <x v="103"/>
    <s v="AM"/>
    <x v="7"/>
  </r>
  <r>
    <d v="2026-06-03T00:00:00"/>
    <x v="112"/>
    <s v="DAY"/>
    <x v="7"/>
  </r>
  <r>
    <d v="2026-06-03T00:00:00"/>
    <x v="113"/>
    <s v="AM"/>
    <x v="7"/>
  </r>
  <r>
    <d v="2026-06-03T00:00:00"/>
    <x v="114"/>
    <s v="DAY"/>
    <x v="7"/>
  </r>
  <r>
    <d v="2026-06-03T00:00:00"/>
    <x v="115"/>
    <s v="AM"/>
    <x v="7"/>
  </r>
  <r>
    <d v="2026-06-03T00:00:00"/>
    <x v="116"/>
    <s v="AM"/>
    <x v="7"/>
  </r>
  <r>
    <d v="2026-06-03T00:00:00"/>
    <x v="117"/>
    <s v="AM"/>
    <x v="7"/>
  </r>
  <r>
    <d v="2026-06-03T00:00:00"/>
    <x v="118"/>
    <s v="AM"/>
    <x v="7"/>
  </r>
  <r>
    <d v="2026-06-03T00:00:00"/>
    <x v="119"/>
    <s v="AM"/>
    <x v="7"/>
  </r>
  <r>
    <d v="2026-06-03T00:00:00"/>
    <x v="120"/>
    <s v="AM"/>
    <x v="7"/>
  </r>
  <r>
    <d v="2026-06-03T00:00:00"/>
    <x v="121"/>
    <s v="AM"/>
    <x v="7"/>
  </r>
  <r>
    <d v="2026-06-03T00:00:00"/>
    <x v="107"/>
    <s v="AM"/>
    <x v="7"/>
  </r>
  <r>
    <d v="2026-06-03T00:00:00"/>
    <x v="122"/>
    <s v="AM"/>
    <x v="7"/>
  </r>
  <r>
    <d v="2026-06-03T00:00:00"/>
    <x v="102"/>
    <s v="AM"/>
    <x v="7"/>
  </r>
  <r>
    <d v="2026-06-03T00:00:00"/>
    <x v="109"/>
    <s v="AM"/>
    <x v="7"/>
  </r>
  <r>
    <d v="2026-06-03T00:00:00"/>
    <x v="123"/>
    <s v="AM"/>
    <x v="7"/>
  </r>
  <r>
    <d v="2026-06-03T00:00:00"/>
    <x v="125"/>
    <s v="DAY"/>
    <x v="7"/>
  </r>
  <r>
    <d v="2026-06-03T00:00:00"/>
    <x v="130"/>
    <s v="AM"/>
    <x v="7"/>
  </r>
  <r>
    <d v="2026-06-03T00:00:00"/>
    <x v="135"/>
    <s v="PM"/>
    <x v="4"/>
  </r>
  <r>
    <d v="2026-06-03T00:00:00"/>
    <x v="133"/>
    <s v="PM"/>
    <x v="5"/>
  </r>
  <r>
    <d v="2026-06-03T00:00:00"/>
    <x v="136"/>
    <s v="PM"/>
    <x v="6"/>
  </r>
  <r>
    <d v="2026-06-03T00:00:00"/>
    <x v="145"/>
    <s v="PM"/>
    <x v="6"/>
  </r>
  <r>
    <d v="2026-06-03T00:00:00"/>
    <x v="138"/>
    <s v="PM"/>
    <x v="6"/>
  </r>
  <r>
    <d v="2026-06-03T00:00:00"/>
    <x v="147"/>
    <s v="PM"/>
    <x v="6"/>
  </r>
  <r>
    <d v="2026-06-03T00:00:00"/>
    <x v="139"/>
    <s v="PM"/>
    <x v="6"/>
  </r>
  <r>
    <d v="2026-06-03T00:00:00"/>
    <x v="149"/>
    <s v="PM"/>
    <x v="6"/>
  </r>
  <r>
    <d v="2026-06-03T00:00:00"/>
    <x v="153"/>
    <s v="PM"/>
    <x v="6"/>
  </r>
  <r>
    <d v="2026-06-03T00:00:00"/>
    <x v="155"/>
    <s v="PM"/>
    <x v="6"/>
  </r>
  <r>
    <d v="2026-06-03T00:00:00"/>
    <x v="131"/>
    <s v="PM"/>
    <x v="6"/>
  </r>
  <r>
    <d v="2026-06-03T00:00:00"/>
    <x v="134"/>
    <s v="PM"/>
    <x v="7"/>
  </r>
  <r>
    <d v="2026-06-03T00:00:00"/>
    <x v="142"/>
    <s v="PM"/>
    <x v="7"/>
  </r>
  <r>
    <d v="2026-06-03T00:00:00"/>
    <x v="143"/>
    <s v="PM"/>
    <x v="7"/>
  </r>
  <r>
    <d v="2026-06-03T00:00:00"/>
    <x v="132"/>
    <s v="PM"/>
    <x v="7"/>
  </r>
  <r>
    <d v="2026-06-03T00:00:00"/>
    <x v="144"/>
    <s v="PM"/>
    <x v="7"/>
  </r>
  <r>
    <d v="2026-06-03T00:00:00"/>
    <x v="137"/>
    <s v="PM"/>
    <x v="7"/>
  </r>
  <r>
    <d v="2026-06-03T00:00:00"/>
    <x v="146"/>
    <s v="PM"/>
    <x v="7"/>
  </r>
  <r>
    <d v="2026-06-03T00:00:00"/>
    <x v="148"/>
    <s v="PM"/>
    <x v="7"/>
  </r>
  <r>
    <d v="2026-06-03T00:00:00"/>
    <x v="150"/>
    <s v="PM"/>
    <x v="7"/>
  </r>
  <r>
    <d v="2026-06-03T00:00:00"/>
    <x v="151"/>
    <s v="PM"/>
    <x v="7"/>
  </r>
  <r>
    <d v="2026-06-03T00:00:00"/>
    <x v="152"/>
    <s v="PM"/>
    <x v="7"/>
  </r>
  <r>
    <d v="2026-06-03T00:00:00"/>
    <x v="140"/>
    <s v="PM"/>
    <x v="7"/>
  </r>
  <r>
    <d v="2026-06-03T00:00:00"/>
    <x v="154"/>
    <s v="PM"/>
    <x v="7"/>
  </r>
  <r>
    <d v="2026-06-03T00:00:00"/>
    <x v="141"/>
    <s v="PM"/>
    <x v="7"/>
  </r>
  <r>
    <d v="2026-06-03T00:00:00"/>
    <x v="156"/>
    <s v="PM"/>
    <x v="7"/>
  </r>
  <r>
    <d v="2026-06-03T00:00:00"/>
    <x v="17"/>
    <s v="AM"/>
    <x v="2"/>
  </r>
  <r>
    <d v="2026-06-03T00:00:00"/>
    <x v="21"/>
    <s v="AM"/>
    <x v="2"/>
  </r>
  <r>
    <d v="2026-06-03T00:00:00"/>
    <x v="22"/>
    <s v="AM"/>
    <x v="2"/>
  </r>
  <r>
    <d v="2026-06-03T00:00:00"/>
    <x v="1"/>
    <s v="AM"/>
    <x v="2"/>
  </r>
  <r>
    <d v="2026-06-03T00:00:00"/>
    <x v="25"/>
    <s v="MI-TEMPS"/>
    <x v="2"/>
  </r>
  <r>
    <d v="2026-06-03T00:00:00"/>
    <x v="31"/>
    <s v="AM"/>
    <x v="2"/>
  </r>
  <r>
    <d v="2026-06-03T00:00:00"/>
    <x v="35"/>
    <s v="AM"/>
    <x v="2"/>
  </r>
  <r>
    <d v="2026-06-03T00:00:00"/>
    <x v="4"/>
    <s v="AM"/>
    <x v="2"/>
  </r>
  <r>
    <d v="2026-06-03T00:00:00"/>
    <x v="41"/>
    <s v="AM"/>
    <x v="2"/>
  </r>
  <r>
    <d v="2026-06-03T00:00:00"/>
    <x v="49"/>
    <s v="AM"/>
    <x v="2"/>
  </r>
  <r>
    <d v="2026-06-03T00:00:00"/>
    <x v="6"/>
    <s v="AM"/>
    <x v="2"/>
  </r>
  <r>
    <d v="2026-06-03T00:00:00"/>
    <x v="7"/>
    <s v="AM"/>
    <x v="2"/>
  </r>
  <r>
    <d v="2026-06-03T00:00:00"/>
    <x v="8"/>
    <s v="AM"/>
    <x v="2"/>
  </r>
  <r>
    <d v="2026-06-03T00:00:00"/>
    <x v="0"/>
    <s v="AM"/>
    <x v="2"/>
  </r>
  <r>
    <d v="2026-06-03T00:00:00"/>
    <x v="19"/>
    <s v="AM"/>
    <x v="2"/>
  </r>
  <r>
    <d v="2026-06-03T00:00:00"/>
    <x v="36"/>
    <s v="AM"/>
    <x v="2"/>
  </r>
  <r>
    <d v="2026-06-03T00:00:00"/>
    <x v="38"/>
    <s v="AM"/>
    <x v="2"/>
  </r>
  <r>
    <d v="2026-06-03T00:00:00"/>
    <x v="50"/>
    <s v="AM"/>
    <x v="2"/>
  </r>
  <r>
    <d v="2026-06-03T00:00:00"/>
    <x v="11"/>
    <s v="AM"/>
    <x v="2"/>
  </r>
  <r>
    <d v="2026-06-03T00:00:00"/>
    <x v="23"/>
    <s v="AM"/>
    <x v="2"/>
  </r>
  <r>
    <d v="2026-06-03T00:00:00"/>
    <x v="33"/>
    <s v="AM"/>
    <x v="2"/>
  </r>
  <r>
    <d v="2026-06-03T00:00:00"/>
    <x v="10"/>
    <s v="AM"/>
    <x v="2"/>
  </r>
  <r>
    <d v="2026-06-03T00:00:00"/>
    <x v="18"/>
    <s v="AM"/>
    <x v="2"/>
  </r>
  <r>
    <d v="2026-06-03T00:00:00"/>
    <x v="13"/>
    <s v="AM"/>
    <x v="2"/>
  </r>
  <r>
    <d v="2026-06-03T00:00:00"/>
    <x v="2"/>
    <s v="AM"/>
    <x v="2"/>
  </r>
  <r>
    <d v="2026-06-03T00:00:00"/>
    <x v="15"/>
    <s v="AM"/>
    <x v="2"/>
  </r>
  <r>
    <d v="2026-06-03T00:00:00"/>
    <x v="47"/>
    <s v="AM"/>
    <x v="2"/>
  </r>
  <r>
    <d v="2026-06-03T00:00:00"/>
    <x v="16"/>
    <s v="DAY"/>
    <x v="2"/>
  </r>
  <r>
    <d v="2026-06-03T00:00:00"/>
    <x v="20"/>
    <s v="AM"/>
    <x v="2"/>
  </r>
  <r>
    <d v="2026-06-03T00:00:00"/>
    <x v="24"/>
    <s v="MI-TEMPS"/>
    <x v="2"/>
  </r>
  <r>
    <d v="2026-06-03T00:00:00"/>
    <x v="27"/>
    <s v="MI-TEMPS"/>
    <x v="2"/>
  </r>
  <r>
    <d v="2026-06-03T00:00:00"/>
    <x v="28"/>
    <s v="AM"/>
    <x v="2"/>
  </r>
  <r>
    <d v="2026-06-03T00:00:00"/>
    <x v="29"/>
    <s v="AM"/>
    <x v="2"/>
  </r>
  <r>
    <d v="2026-06-03T00:00:00"/>
    <x v="30"/>
    <s v="DAY"/>
    <x v="2"/>
  </r>
  <r>
    <d v="2026-06-03T00:00:00"/>
    <x v="32"/>
    <s v="MI-TEMPS"/>
    <x v="2"/>
  </r>
  <r>
    <d v="2026-06-03T00:00:00"/>
    <x v="3"/>
    <s v="AM"/>
    <x v="2"/>
  </r>
  <r>
    <d v="2026-06-03T00:00:00"/>
    <x v="37"/>
    <s v="DAY"/>
    <x v="2"/>
  </r>
  <r>
    <d v="2026-06-03T00:00:00"/>
    <x v="39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8"/>
    <s v="MI-TEMPS"/>
    <x v="2"/>
  </r>
  <r>
    <d v="2026-06-03T00:00:00"/>
    <x v="5"/>
    <s v="AM"/>
    <x v="2"/>
  </r>
  <r>
    <d v="2026-06-03T00:00:00"/>
    <x v="51"/>
    <s v="DAY"/>
    <x v="2"/>
  </r>
  <r>
    <d v="2026-06-03T00:00:00"/>
    <x v="53"/>
    <s v="MI-TEMPS"/>
    <x v="2"/>
  </r>
  <r>
    <d v="2026-06-03T00:00:00"/>
    <x v="54"/>
    <s v="DAY"/>
    <x v="2"/>
  </r>
  <r>
    <d v="2026-06-03T00:00:00"/>
    <x v="12"/>
    <s v="AM"/>
    <x v="2"/>
  </r>
  <r>
    <d v="2026-06-03T00:00:00"/>
    <x v="34"/>
    <s v="AM"/>
    <x v="2"/>
  </r>
  <r>
    <d v="2026-06-03T00:00:00"/>
    <x v="40"/>
    <s v="AM"/>
    <x v="2"/>
  </r>
  <r>
    <d v="2026-06-03T00:00:00"/>
    <x v="9"/>
    <s v="AM"/>
    <x v="2"/>
  </r>
  <r>
    <d v="2026-06-03T00:00:00"/>
    <x v="14"/>
    <s v="AM"/>
    <x v="2"/>
  </r>
  <r>
    <d v="2026-06-03T00:00:00"/>
    <x v="52"/>
    <s v="AM"/>
    <x v="2"/>
  </r>
  <r>
    <d v="2026-06-03T00:00:00"/>
    <x v="26"/>
    <s v="AM"/>
    <x v="2"/>
  </r>
  <r>
    <d v="2026-06-03T00:00:00"/>
    <x v="78"/>
    <s v="PM"/>
    <x v="2"/>
  </r>
  <r>
    <d v="2026-06-03T00:00:00"/>
    <x v="65"/>
    <s v="PM"/>
    <x v="2"/>
  </r>
  <r>
    <d v="2026-06-03T00:00:00"/>
    <x v="88"/>
    <s v="PM"/>
    <x v="2"/>
  </r>
  <r>
    <d v="2026-06-03T00:00:00"/>
    <x v="95"/>
    <s v="PM"/>
    <x v="2"/>
  </r>
  <r>
    <d v="2026-06-03T00:00:00"/>
    <x v="73"/>
    <s v="PM"/>
    <x v="2"/>
  </r>
  <r>
    <d v="2026-06-03T00:00:00"/>
    <x v="86"/>
    <s v="PM"/>
    <x v="2"/>
  </r>
  <r>
    <d v="2026-06-03T00:00:00"/>
    <x v="89"/>
    <s v="PM"/>
    <x v="2"/>
  </r>
  <r>
    <d v="2026-06-03T00:00:00"/>
    <x v="81"/>
    <s v="PM"/>
    <x v="2"/>
  </r>
  <r>
    <d v="2026-06-03T00:00:00"/>
    <x v="93"/>
    <s v="PM"/>
    <x v="2"/>
  </r>
  <r>
    <d v="2026-06-03T00:00:00"/>
    <x v="77"/>
    <s v="PM"/>
    <x v="2"/>
  </r>
  <r>
    <d v="2026-06-03T00:00:00"/>
    <x v="83"/>
    <s v="PM"/>
    <x v="2"/>
  </r>
  <r>
    <d v="2026-06-03T00:00:00"/>
    <x v="91"/>
    <s v="PM"/>
    <x v="2"/>
  </r>
  <r>
    <d v="2026-06-03T00:00:00"/>
    <x v="71"/>
    <s v="PM"/>
    <x v="2"/>
  </r>
  <r>
    <d v="2026-06-03T00:00:00"/>
    <x v="74"/>
    <s v="PM"/>
    <x v="2"/>
  </r>
  <r>
    <d v="2026-06-03T00:00:00"/>
    <x v="75"/>
    <s v="PM"/>
    <x v="2"/>
  </r>
  <r>
    <d v="2026-06-03T00:00:00"/>
    <x v="60"/>
    <s v="PM"/>
    <x v="2"/>
  </r>
  <r>
    <d v="2026-06-03T00:00:00"/>
    <x v="76"/>
    <s v="PM"/>
    <x v="2"/>
  </r>
  <r>
    <d v="2026-06-03T00:00:00"/>
    <x v="61"/>
    <s v="PM"/>
    <x v="2"/>
  </r>
  <r>
    <d v="2026-06-03T00:00:00"/>
    <x v="80"/>
    <s v="PM"/>
    <x v="2"/>
  </r>
  <r>
    <d v="2026-06-03T00:00:00"/>
    <x v="82"/>
    <s v="PM"/>
    <x v="2"/>
  </r>
  <r>
    <d v="2026-06-03T00:00:00"/>
    <x v="64"/>
    <s v="PM"/>
    <x v="2"/>
  </r>
  <r>
    <d v="2026-06-03T00:00:00"/>
    <x v="84"/>
    <s v="PM"/>
    <x v="2"/>
  </r>
  <r>
    <d v="2026-06-03T00:00:00"/>
    <x v="66"/>
    <s v="PM"/>
    <x v="2"/>
  </r>
  <r>
    <d v="2026-06-03T00:00:00"/>
    <x v="67"/>
    <s v="PM"/>
    <x v="2"/>
  </r>
  <r>
    <d v="2026-06-03T00:00:00"/>
    <x v="70"/>
    <s v="PM"/>
    <x v="2"/>
  </r>
  <r>
    <d v="2026-06-03T00:00:00"/>
    <x v="68"/>
    <s v="PM"/>
    <x v="2"/>
  </r>
  <r>
    <d v="2026-06-03T00:00:00"/>
    <x v="92"/>
    <s v="PM"/>
    <x v="2"/>
  </r>
  <r>
    <d v="2026-06-03T00:00:00"/>
    <x v="72"/>
    <s v="PM"/>
    <x v="2"/>
  </r>
  <r>
    <d v="2026-06-03T00:00:00"/>
    <x v="96"/>
    <s v="PM"/>
    <x v="2"/>
  </r>
  <r>
    <d v="2026-06-03T00:00:00"/>
    <x v="62"/>
    <s v="PM"/>
    <x v="2"/>
  </r>
  <r>
    <d v="2026-06-03T00:00:00"/>
    <x v="87"/>
    <s v="PM"/>
    <x v="2"/>
  </r>
  <r>
    <d v="2026-06-03T00:00:00"/>
    <x v="79"/>
    <s v="PM"/>
    <x v="2"/>
  </r>
  <r>
    <d v="2026-06-03T00:00:00"/>
    <x v="63"/>
    <s v="PM"/>
    <x v="2"/>
  </r>
  <r>
    <d v="2026-06-03T00:00:00"/>
    <x v="85"/>
    <s v="PM"/>
    <x v="2"/>
  </r>
  <r>
    <d v="2026-06-03T00:00:00"/>
    <x v="69"/>
    <s v="PM"/>
    <x v="2"/>
  </r>
  <r>
    <d v="2026-06-03T00:00:00"/>
    <x v="59"/>
    <s v="PM"/>
    <x v="2"/>
  </r>
  <r>
    <d v="2026-06-03T00:00:00"/>
    <x v="90"/>
    <s v="PM"/>
    <x v="2"/>
  </r>
  <r>
    <d v="2026-06-03T00:00:00"/>
    <x v="94"/>
    <s v="PM"/>
    <x v="2"/>
  </r>
  <r>
    <d v="2026-06-03T00:00:00"/>
    <x v="110"/>
    <s v="AM"/>
    <x v="6"/>
  </r>
  <r>
    <d v="2026-06-03T00:00:00"/>
    <x v="117"/>
    <s v="AM"/>
    <x v="6"/>
  </r>
  <r>
    <d v="2026-06-03T00:00:00"/>
    <x v="118"/>
    <s v="AM"/>
    <x v="6"/>
  </r>
  <r>
    <d v="2026-06-03T00:00:00"/>
    <x v="119"/>
    <s v="AM"/>
    <x v="6"/>
  </r>
  <r>
    <d v="2026-06-03T00:00:00"/>
    <x v="120"/>
    <s v="AM"/>
    <x v="6"/>
  </r>
  <r>
    <d v="2026-06-03T00:00:00"/>
    <x v="121"/>
    <s v="AM"/>
    <x v="6"/>
  </r>
  <r>
    <d v="2026-06-03T00:00:00"/>
    <x v="108"/>
    <s v="AM"/>
    <x v="6"/>
  </r>
  <r>
    <d v="2026-06-03T00:00:00"/>
    <x v="102"/>
    <s v="AM"/>
    <x v="6"/>
  </r>
  <r>
    <d v="2026-06-03T00:00:00"/>
    <x v="109"/>
    <s v="AM"/>
    <x v="6"/>
  </r>
  <r>
    <d v="2026-06-03T00:00:00"/>
    <x v="126"/>
    <s v="AM"/>
    <x v="6"/>
  </r>
  <r>
    <d v="2026-06-03T00:00:00"/>
    <x v="105"/>
    <s v="AM"/>
    <x v="6"/>
  </r>
  <r>
    <d v="2026-06-03T00:00:00"/>
    <x v="122"/>
    <s v="AM"/>
    <x v="6"/>
  </r>
  <r>
    <d v="2026-06-03T00:00:00"/>
    <x v="116"/>
    <s v="AM"/>
    <x v="6"/>
  </r>
  <r>
    <d v="2026-06-03T00:00:00"/>
    <x v="104"/>
    <s v="AM"/>
    <x v="6"/>
  </r>
  <r>
    <d v="2026-06-03T00:00:00"/>
    <x v="111"/>
    <s v="AM"/>
    <x v="6"/>
  </r>
  <r>
    <d v="2026-06-03T00:00:00"/>
    <x v="103"/>
    <s v="AM"/>
    <x v="6"/>
  </r>
  <r>
    <d v="2026-06-03T00:00:00"/>
    <x v="112"/>
    <s v="DAY"/>
    <x v="6"/>
  </r>
  <r>
    <d v="2026-06-03T00:00:00"/>
    <x v="113"/>
    <s v="AM"/>
    <x v="6"/>
  </r>
  <r>
    <d v="2026-06-03T00:00:00"/>
    <x v="114"/>
    <s v="DAY"/>
    <x v="6"/>
  </r>
  <r>
    <d v="2026-06-03T00:00:00"/>
    <x v="115"/>
    <s v="AM"/>
    <x v="6"/>
  </r>
  <r>
    <d v="2026-06-03T00:00:00"/>
    <x v="107"/>
    <s v="AM"/>
    <x v="6"/>
  </r>
  <r>
    <d v="2026-06-03T00:00:00"/>
    <x v="123"/>
    <s v="AM"/>
    <x v="6"/>
  </r>
  <r>
    <d v="2026-06-03T00:00:00"/>
    <x v="124"/>
    <s v="AM"/>
    <x v="6"/>
  </r>
  <r>
    <d v="2026-06-03T00:00:00"/>
    <x v="125"/>
    <s v="DAY"/>
    <x v="6"/>
  </r>
  <r>
    <d v="2026-06-03T00:00:00"/>
    <x v="127"/>
    <s v="AM"/>
    <x v="6"/>
  </r>
  <r>
    <d v="2026-06-03T00:00:00"/>
    <x v="128"/>
    <s v="AM"/>
    <x v="6"/>
  </r>
  <r>
    <d v="2026-06-03T00:00:00"/>
    <x v="129"/>
    <s v="AM"/>
    <x v="6"/>
  </r>
  <r>
    <d v="2026-06-03T00:00:00"/>
    <x v="130"/>
    <s v="AM"/>
    <x v="6"/>
  </r>
  <r>
    <d v="2026-06-03T00:00:00"/>
    <x v="106"/>
    <s v="AM"/>
    <x v="6"/>
  </r>
  <r>
    <d v="2026-06-03T00:00:00"/>
    <x v="134"/>
    <s v="PM"/>
    <x v="6"/>
  </r>
  <r>
    <d v="2026-06-03T00:00:00"/>
    <x v="143"/>
    <s v="PM"/>
    <x v="6"/>
  </r>
  <r>
    <d v="2026-06-03T00:00:00"/>
    <x v="137"/>
    <s v="PM"/>
    <x v="6"/>
  </r>
  <r>
    <d v="2026-06-03T00:00:00"/>
    <x v="146"/>
    <s v="PM"/>
    <x v="6"/>
  </r>
  <r>
    <d v="2026-06-03T00:00:00"/>
    <x v="148"/>
    <s v="PM"/>
    <x v="6"/>
  </r>
  <r>
    <d v="2026-06-03T00:00:00"/>
    <x v="139"/>
    <s v="PM"/>
    <x v="6"/>
  </r>
  <r>
    <d v="2026-06-03T00:00:00"/>
    <x v="149"/>
    <s v="PM"/>
    <x v="6"/>
  </r>
  <r>
    <d v="2026-06-03T00:00:00"/>
    <x v="150"/>
    <s v="PM"/>
    <x v="6"/>
  </r>
  <r>
    <d v="2026-06-03T00:00:00"/>
    <x v="151"/>
    <s v="PM"/>
    <x v="6"/>
  </r>
  <r>
    <d v="2026-06-03T00:00:00"/>
    <x v="154"/>
    <s v="PM"/>
    <x v="6"/>
  </r>
  <r>
    <d v="2026-06-03T00:00:00"/>
    <x v="141"/>
    <s v="PM"/>
    <x v="6"/>
  </r>
  <r>
    <d v="2026-06-03T00:00:00"/>
    <x v="131"/>
    <s v="PM"/>
    <x v="6"/>
  </r>
  <r>
    <d v="2026-06-03T00:00:00"/>
    <x v="138"/>
    <s v="PM"/>
    <x v="6"/>
  </r>
  <r>
    <d v="2026-06-03T00:00:00"/>
    <x v="147"/>
    <s v="PM"/>
    <x v="6"/>
  </r>
  <r>
    <d v="2026-06-03T00:00:00"/>
    <x v="152"/>
    <s v="PM"/>
    <x v="6"/>
  </r>
  <r>
    <d v="2026-06-03T00:00:00"/>
    <x v="144"/>
    <s v="PM"/>
    <x v="6"/>
  </r>
  <r>
    <d v="2026-06-03T00:00:00"/>
    <x v="132"/>
    <s v="PM"/>
    <x v="6"/>
  </r>
  <r>
    <d v="2026-06-03T00:00:00"/>
    <x v="133"/>
    <s v="PM"/>
    <x v="6"/>
  </r>
  <r>
    <d v="2026-06-03T00:00:00"/>
    <x v="135"/>
    <s v="PM"/>
    <x v="6"/>
  </r>
  <r>
    <d v="2026-06-03T00:00:00"/>
    <x v="142"/>
    <s v="PM"/>
    <x v="6"/>
  </r>
  <r>
    <d v="2026-06-03T00:00:00"/>
    <x v="136"/>
    <s v="PM"/>
    <x v="6"/>
  </r>
  <r>
    <d v="2026-06-03T00:00:00"/>
    <x v="145"/>
    <s v="PM"/>
    <x v="6"/>
  </r>
  <r>
    <d v="2026-06-03T00:00:00"/>
    <x v="140"/>
    <s v="PM"/>
    <x v="6"/>
  </r>
  <r>
    <d v="2026-06-03T00:00:00"/>
    <x v="153"/>
    <s v="PM"/>
    <x v="6"/>
  </r>
  <r>
    <d v="2026-06-03T00:00:00"/>
    <x v="155"/>
    <s v="PM"/>
    <x v="6"/>
  </r>
  <r>
    <d v="2026-06-03T00:00:00"/>
    <x v="156"/>
    <s v="PM"/>
    <x v="6"/>
  </r>
  <r>
    <d v="2026-06-03T00:00:00"/>
    <x v="16"/>
    <s v="DAY"/>
    <x v="0"/>
  </r>
  <r>
    <d v="2026-06-03T00:00:00"/>
    <x v="17"/>
    <s v="AM"/>
    <x v="0"/>
  </r>
  <r>
    <d v="2026-06-03T00:00:00"/>
    <x v="35"/>
    <s v="AM"/>
    <x v="0"/>
  </r>
  <r>
    <d v="2026-06-03T00:00:00"/>
    <x v="39"/>
    <s v="AM"/>
    <x v="0"/>
  </r>
  <r>
    <d v="2026-06-03T00:00:00"/>
    <x v="49"/>
    <s v="AM"/>
    <x v="0"/>
  </r>
  <r>
    <d v="2026-06-03T00:00:00"/>
    <x v="6"/>
    <s v="AM"/>
    <x v="0"/>
  </r>
  <r>
    <d v="2026-06-03T00:00:00"/>
    <x v="7"/>
    <s v="AM"/>
    <x v="0"/>
  </r>
  <r>
    <d v="2026-06-03T00:00:00"/>
    <x v="9"/>
    <s v="AM"/>
    <x v="0"/>
  </r>
  <r>
    <d v="2026-06-03T00:00:00"/>
    <x v="51"/>
    <s v="DAY"/>
    <x v="0"/>
  </r>
  <r>
    <d v="2026-06-03T00:00:00"/>
    <x v="52"/>
    <s v="AM"/>
    <x v="0"/>
  </r>
  <r>
    <d v="2026-06-03T00:00:00"/>
    <x v="15"/>
    <s v="AM"/>
    <x v="1"/>
  </r>
  <r>
    <d v="2026-06-03T00:00:00"/>
    <x v="21"/>
    <s v="AM"/>
    <x v="1"/>
  </r>
  <r>
    <d v="2026-06-03T00:00:00"/>
    <x v="1"/>
    <s v="AM"/>
    <x v="1"/>
  </r>
  <r>
    <d v="2026-06-03T00:00:00"/>
    <x v="40"/>
    <s v="AM"/>
    <x v="1"/>
  </r>
  <r>
    <d v="2026-06-03T00:00:00"/>
    <x v="10"/>
    <s v="AM"/>
    <x v="2"/>
  </r>
  <r>
    <d v="2026-06-03T00:00:00"/>
    <x v="14"/>
    <s v="AM"/>
    <x v="2"/>
  </r>
  <r>
    <d v="2026-06-03T00:00:00"/>
    <x v="0"/>
    <s v="AM"/>
    <x v="2"/>
  </r>
  <r>
    <d v="2026-06-03T00:00:00"/>
    <x v="18"/>
    <s v="AM"/>
    <x v="2"/>
  </r>
  <r>
    <d v="2026-06-03T00:00:00"/>
    <x v="19"/>
    <s v="AM"/>
    <x v="2"/>
  </r>
  <r>
    <d v="2026-06-03T00:00:00"/>
    <x v="20"/>
    <s v="AM"/>
    <x v="2"/>
  </r>
  <r>
    <d v="2026-06-03T00:00:00"/>
    <x v="22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27"/>
    <s v="MI-TEMPS"/>
    <x v="2"/>
  </r>
  <r>
    <d v="2026-06-03T00:00:00"/>
    <x v="28"/>
    <s v="AM"/>
    <x v="2"/>
  </r>
  <r>
    <d v="2026-06-03T00:00:00"/>
    <x v="29"/>
    <s v="AM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"/>
    <s v="AM"/>
    <x v="2"/>
  </r>
  <r>
    <d v="2026-06-03T00:00:00"/>
    <x v="34"/>
    <s v="AM"/>
    <x v="2"/>
  </r>
  <r>
    <d v="2026-06-03T00:00:00"/>
    <x v="12"/>
    <s v="AM"/>
    <x v="2"/>
  </r>
  <r>
    <d v="2026-06-03T00:00:00"/>
    <x v="36"/>
    <s v="AM"/>
    <x v="2"/>
  </r>
  <r>
    <d v="2026-06-03T00:00:00"/>
    <x v="37"/>
    <s v="DAY"/>
    <x v="2"/>
  </r>
  <r>
    <d v="2026-06-03T00:00:00"/>
    <x v="38"/>
    <s v="AM"/>
    <x v="2"/>
  </r>
  <r>
    <d v="2026-06-03T00:00:00"/>
    <x v="13"/>
    <s v="AM"/>
    <x v="2"/>
  </r>
  <r>
    <d v="2026-06-03T00:00:00"/>
    <x v="4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7"/>
    <s v="AM"/>
    <x v="2"/>
  </r>
  <r>
    <d v="2026-06-03T00:00:00"/>
    <x v="48"/>
    <s v="MI-TEMPS"/>
    <x v="2"/>
  </r>
  <r>
    <d v="2026-06-03T00:00:00"/>
    <x v="50"/>
    <s v="AM"/>
    <x v="2"/>
  </r>
  <r>
    <d v="2026-06-03T00:00:00"/>
    <x v="5"/>
    <s v="AM"/>
    <x v="2"/>
  </r>
  <r>
    <d v="2026-06-03T00:00:00"/>
    <x v="8"/>
    <s v="AM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7"/>
    <s v="PM"/>
    <x v="0"/>
  </r>
  <r>
    <d v="2026-06-03T00:00:00"/>
    <x v="78"/>
    <s v="PM"/>
    <x v="0"/>
  </r>
  <r>
    <d v="2026-06-03T00:00:00"/>
    <x v="79"/>
    <s v="PM"/>
    <x v="0"/>
  </r>
  <r>
    <d v="2026-06-03T00:00:00"/>
    <x v="62"/>
    <s v="PM"/>
    <x v="0"/>
  </r>
  <r>
    <d v="2026-06-03T00:00:00"/>
    <x v="64"/>
    <s v="PM"/>
    <x v="0"/>
  </r>
  <r>
    <d v="2026-06-03T00:00:00"/>
    <x v="84"/>
    <s v="PM"/>
    <x v="0"/>
  </r>
  <r>
    <d v="2026-06-03T00:00:00"/>
    <x v="69"/>
    <s v="PM"/>
    <x v="0"/>
  </r>
  <r>
    <d v="2026-06-03T00:00:00"/>
    <x v="67"/>
    <s v="PM"/>
    <x v="0"/>
  </r>
  <r>
    <d v="2026-06-03T00:00:00"/>
    <x v="68"/>
    <s v="PM"/>
    <x v="0"/>
  </r>
  <r>
    <d v="2026-06-03T00:00:00"/>
    <x v="92"/>
    <s v="PM"/>
    <x v="0"/>
  </r>
  <r>
    <d v="2026-06-03T00:00:00"/>
    <x v="76"/>
    <s v="PM"/>
    <x v="1"/>
  </r>
  <r>
    <d v="2026-06-03T00:00:00"/>
    <x v="65"/>
    <s v="PM"/>
    <x v="1"/>
  </r>
  <r>
    <d v="2026-06-03T00:00:00"/>
    <x v="71"/>
    <s v="PM"/>
    <x v="1"/>
  </r>
  <r>
    <d v="2026-06-03T00:00:00"/>
    <x v="72"/>
    <s v="PM"/>
    <x v="1"/>
  </r>
  <r>
    <d v="2026-06-03T00:00:00"/>
    <x v="73"/>
    <s v="PM"/>
    <x v="2"/>
  </r>
  <r>
    <d v="2026-06-03T00:00:00"/>
    <x v="74"/>
    <s v="PM"/>
    <x v="2"/>
  </r>
  <r>
    <d v="2026-06-03T00:00:00"/>
    <x v="59"/>
    <s v="PM"/>
    <x v="2"/>
  </r>
  <r>
    <d v="2026-06-03T00:00:00"/>
    <x v="75"/>
    <s v="PM"/>
    <x v="2"/>
  </r>
  <r>
    <d v="2026-06-03T00:00:00"/>
    <x v="60"/>
    <s v="PM"/>
    <x v="2"/>
  </r>
  <r>
    <d v="2026-06-03T00:00:00"/>
    <x v="61"/>
    <s v="PM"/>
    <x v="2"/>
  </r>
  <r>
    <d v="2026-06-03T00:00:00"/>
    <x v="80"/>
    <s v="PM"/>
    <x v="2"/>
  </r>
  <r>
    <d v="2026-06-03T00:00:00"/>
    <x v="81"/>
    <s v="PM"/>
    <x v="2"/>
  </r>
  <r>
    <d v="2026-06-03T00:00:00"/>
    <x v="82"/>
    <s v="PM"/>
    <x v="2"/>
  </r>
  <r>
    <d v="2026-06-03T00:00:00"/>
    <x v="83"/>
    <s v="PM"/>
    <x v="2"/>
  </r>
  <r>
    <d v="2026-06-03T00:00:00"/>
    <x v="63"/>
    <s v="PM"/>
    <x v="2"/>
  </r>
  <r>
    <d v="2026-06-03T00:00:00"/>
    <x v="85"/>
    <s v="PM"/>
    <x v="2"/>
  </r>
  <r>
    <d v="2026-06-03T00:00:00"/>
    <x v="86"/>
    <s v="PM"/>
    <x v="2"/>
  </r>
  <r>
    <d v="2026-06-03T00:00:00"/>
    <x v="66"/>
    <s v="PM"/>
    <x v="2"/>
  </r>
  <r>
    <d v="2026-06-03T00:00:00"/>
    <x v="87"/>
    <s v="PM"/>
    <x v="2"/>
  </r>
  <r>
    <d v="2026-06-03T00:00:00"/>
    <x v="88"/>
    <s v="PM"/>
    <x v="2"/>
  </r>
  <r>
    <d v="2026-06-03T00:00:00"/>
    <x v="89"/>
    <s v="PM"/>
    <x v="2"/>
  </r>
  <r>
    <d v="2026-06-03T00:00:00"/>
    <x v="90"/>
    <s v="PM"/>
    <x v="2"/>
  </r>
  <r>
    <d v="2026-06-03T00:00:00"/>
    <x v="91"/>
    <s v="PM"/>
    <x v="2"/>
  </r>
  <r>
    <d v="2026-06-03T00:00:00"/>
    <x v="70"/>
    <s v="PM"/>
    <x v="2"/>
  </r>
  <r>
    <d v="2026-06-03T00:00:00"/>
    <x v="93"/>
    <s v="PM"/>
    <x v="2"/>
  </r>
  <r>
    <d v="2026-06-03T00:00:00"/>
    <x v="94"/>
    <s v="PM"/>
    <x v="2"/>
  </r>
  <r>
    <d v="2026-06-03T00:00:00"/>
    <x v="95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10"/>
    <s v="AM"/>
    <x v="4"/>
  </r>
  <r>
    <d v="2026-06-03T00:00:00"/>
    <x v="107"/>
    <s v="AM"/>
    <x v="5"/>
  </r>
  <r>
    <d v="2026-06-03T00:00:00"/>
    <x v="105"/>
    <s v="AM"/>
    <x v="6"/>
  </r>
  <r>
    <d v="2026-06-03T00:00:00"/>
    <x v="103"/>
    <s v="AM"/>
    <x v="6"/>
  </r>
  <r>
    <d v="2026-06-03T00:00:00"/>
    <x v="116"/>
    <s v="AM"/>
    <x v="6"/>
  </r>
  <r>
    <d v="2026-06-03T00:00:00"/>
    <x v="109"/>
    <s v="AM"/>
    <x v="6"/>
  </r>
  <r>
    <d v="2026-06-03T00:00:00"/>
    <x v="125"/>
    <s v="DAY"/>
    <x v="6"/>
  </r>
  <r>
    <d v="2026-06-03T00:00:00"/>
    <x v="130"/>
    <s v="AM"/>
    <x v="6"/>
  </r>
  <r>
    <d v="2026-06-03T00:00:00"/>
    <x v="104"/>
    <s v="AM"/>
    <x v="7"/>
  </r>
  <r>
    <d v="2026-06-03T00:00:00"/>
    <x v="111"/>
    <s v="AM"/>
    <x v="7"/>
  </r>
  <r>
    <d v="2026-06-03T00:00:00"/>
    <x v="112"/>
    <s v="DAY"/>
    <x v="7"/>
  </r>
  <r>
    <d v="2026-06-03T00:00:00"/>
    <x v="106"/>
    <s v="AM"/>
    <x v="7"/>
  </r>
  <r>
    <d v="2026-06-03T00:00:00"/>
    <x v="113"/>
    <s v="AM"/>
    <x v="7"/>
  </r>
  <r>
    <d v="2026-06-03T00:00:00"/>
    <x v="114"/>
    <s v="DAY"/>
    <x v="7"/>
  </r>
  <r>
    <d v="2026-06-03T00:00:00"/>
    <x v="115"/>
    <s v="AM"/>
    <x v="7"/>
  </r>
  <r>
    <d v="2026-06-03T00:00:00"/>
    <x v="117"/>
    <s v="AM"/>
    <x v="7"/>
  </r>
  <r>
    <d v="2026-06-03T00:00:00"/>
    <x v="118"/>
    <s v="AM"/>
    <x v="7"/>
  </r>
  <r>
    <d v="2026-06-03T00:00:00"/>
    <x v="119"/>
    <s v="AM"/>
    <x v="7"/>
  </r>
  <r>
    <d v="2026-06-03T00:00:00"/>
    <x v="120"/>
    <s v="AM"/>
    <x v="7"/>
  </r>
  <r>
    <d v="2026-06-03T00:00:00"/>
    <x v="121"/>
    <s v="AM"/>
    <x v="7"/>
  </r>
  <r>
    <d v="2026-06-03T00:00:00"/>
    <x v="122"/>
    <s v="AM"/>
    <x v="7"/>
  </r>
  <r>
    <d v="2026-06-03T00:00:00"/>
    <x v="108"/>
    <s v="AM"/>
    <x v="7"/>
  </r>
  <r>
    <d v="2026-06-03T00:00:00"/>
    <x v="102"/>
    <s v="AM"/>
    <x v="7"/>
  </r>
  <r>
    <d v="2026-06-03T00:00:00"/>
    <x v="123"/>
    <s v="AM"/>
    <x v="7"/>
  </r>
  <r>
    <d v="2026-06-03T00:00:00"/>
    <x v="124"/>
    <s v="AM"/>
    <x v="7"/>
  </r>
  <r>
    <d v="2026-06-03T00:00:00"/>
    <x v="126"/>
    <s v="AM"/>
    <x v="7"/>
  </r>
  <r>
    <d v="2026-06-03T00:00:00"/>
    <x v="127"/>
    <s v="AM"/>
    <x v="7"/>
  </r>
  <r>
    <d v="2026-06-03T00:00:00"/>
    <x v="128"/>
    <s v="AM"/>
    <x v="7"/>
  </r>
  <r>
    <d v="2026-06-03T00:00:00"/>
    <x v="129"/>
    <s v="AM"/>
    <x v="7"/>
  </r>
  <r>
    <d v="2026-06-03T00:00:00"/>
    <x v="132"/>
    <s v="PM"/>
    <x v="4"/>
  </r>
  <r>
    <d v="2026-06-03T00:00:00"/>
    <x v="131"/>
    <s v="PM"/>
    <x v="5"/>
  </r>
  <r>
    <d v="2026-06-03T00:00:00"/>
    <x v="133"/>
    <s v="PM"/>
    <x v="6"/>
  </r>
  <r>
    <d v="2026-06-03T00:00:00"/>
    <x v="142"/>
    <s v="PM"/>
    <x v="6"/>
  </r>
  <r>
    <d v="2026-06-03T00:00:00"/>
    <x v="136"/>
    <s v="PM"/>
    <x v="6"/>
  </r>
  <r>
    <d v="2026-06-03T00:00:00"/>
    <x v="137"/>
    <s v="PM"/>
    <x v="6"/>
  </r>
  <r>
    <d v="2026-06-03T00:00:00"/>
    <x v="147"/>
    <s v="PM"/>
    <x v="6"/>
  </r>
  <r>
    <d v="2026-06-03T00:00:00"/>
    <x v="150"/>
    <s v="PM"/>
    <x v="6"/>
  </r>
  <r>
    <d v="2026-06-03T00:00:00"/>
    <x v="140"/>
    <s v="PM"/>
    <x v="6"/>
  </r>
  <r>
    <d v="2026-06-03T00:00:00"/>
    <x v="141"/>
    <s v="PM"/>
    <x v="6"/>
  </r>
  <r>
    <d v="2026-06-03T00:00:00"/>
    <x v="156"/>
    <s v="PM"/>
    <x v="6"/>
  </r>
  <r>
    <d v="2026-06-03T00:00:00"/>
    <x v="134"/>
    <s v="PM"/>
    <x v="7"/>
  </r>
  <r>
    <d v="2026-06-03T00:00:00"/>
    <x v="135"/>
    <s v="PM"/>
    <x v="7"/>
  </r>
  <r>
    <d v="2026-06-03T00:00:00"/>
    <x v="143"/>
    <s v="PM"/>
    <x v="7"/>
  </r>
  <r>
    <d v="2026-06-03T00:00:00"/>
    <x v="144"/>
    <s v="PM"/>
    <x v="7"/>
  </r>
  <r>
    <d v="2026-06-03T00:00:00"/>
    <x v="145"/>
    <s v="PM"/>
    <x v="7"/>
  </r>
  <r>
    <d v="2026-06-03T00:00:00"/>
    <x v="146"/>
    <s v="PM"/>
    <x v="7"/>
  </r>
  <r>
    <d v="2026-06-03T00:00:00"/>
    <x v="138"/>
    <s v="PM"/>
    <x v="7"/>
  </r>
  <r>
    <d v="2026-06-03T00:00:00"/>
    <x v="148"/>
    <s v="PM"/>
    <x v="7"/>
  </r>
  <r>
    <d v="2026-06-03T00:00:00"/>
    <x v="139"/>
    <s v="PM"/>
    <x v="7"/>
  </r>
  <r>
    <d v="2026-06-03T00:00:00"/>
    <x v="149"/>
    <s v="PM"/>
    <x v="7"/>
  </r>
  <r>
    <d v="2026-06-03T00:00:00"/>
    <x v="151"/>
    <s v="PM"/>
    <x v="7"/>
  </r>
  <r>
    <d v="2026-06-03T00:00:00"/>
    <x v="152"/>
    <s v="PM"/>
    <x v="7"/>
  </r>
  <r>
    <d v="2026-06-03T00:00:00"/>
    <x v="153"/>
    <s v="PM"/>
    <x v="7"/>
  </r>
  <r>
    <d v="2026-06-03T00:00:00"/>
    <x v="154"/>
    <s v="PM"/>
    <x v="7"/>
  </r>
  <r>
    <d v="2026-06-03T00:00:00"/>
    <x v="155"/>
    <s v="PM"/>
    <x v="7"/>
  </r>
  <r>
    <d v="2026-06-03T00:00:00"/>
    <x v="10"/>
    <s v="AM"/>
    <x v="0"/>
  </r>
  <r>
    <d v="2026-06-03T00:00:00"/>
    <x v="17"/>
    <s v="AM"/>
    <x v="0"/>
  </r>
  <r>
    <d v="2026-06-03T00:00:00"/>
    <x v="19"/>
    <s v="AM"/>
    <x v="0"/>
  </r>
  <r>
    <d v="2026-06-03T00:00:00"/>
    <x v="20"/>
    <s v="AM"/>
    <x v="0"/>
  </r>
  <r>
    <d v="2026-06-03T00:00:00"/>
    <x v="21"/>
    <s v="AM"/>
    <x v="0"/>
  </r>
  <r>
    <d v="2026-06-03T00:00:00"/>
    <x v="23"/>
    <s v="AM"/>
    <x v="0"/>
  </r>
  <r>
    <d v="2026-06-03T00:00:00"/>
    <x v="28"/>
    <s v="AM"/>
    <x v="0"/>
  </r>
  <r>
    <d v="2026-06-03T00:00:00"/>
    <x v="2"/>
    <s v="AM"/>
    <x v="0"/>
  </r>
  <r>
    <d v="2026-06-03T00:00:00"/>
    <x v="42"/>
    <s v="MI-TEMPS"/>
    <x v="0"/>
  </r>
  <r>
    <d v="2026-06-03T00:00:00"/>
    <x v="46"/>
    <s v="MI-TEMPS"/>
    <x v="0"/>
  </r>
  <r>
    <d v="2026-06-03T00:00:00"/>
    <x v="30"/>
    <s v="DAY"/>
    <x v="1"/>
  </r>
  <r>
    <d v="2026-06-03T00:00:00"/>
    <x v="31"/>
    <s v="AM"/>
    <x v="1"/>
  </r>
  <r>
    <d v="2026-06-03T00:00:00"/>
    <x v="4"/>
    <s v="AM"/>
    <x v="1"/>
  </r>
  <r>
    <d v="2026-06-03T00:00:00"/>
    <x v="50"/>
    <s v="AM"/>
    <x v="1"/>
  </r>
  <r>
    <d v="2026-06-03T00:00:00"/>
    <x v="14"/>
    <s v="AM"/>
    <x v="2"/>
  </r>
  <r>
    <d v="2026-06-03T00:00:00"/>
    <x v="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8"/>
    <s v="AM"/>
    <x v="2"/>
  </r>
  <r>
    <d v="2026-06-03T00:00:00"/>
    <x v="22"/>
    <s v="AM"/>
    <x v="2"/>
  </r>
  <r>
    <d v="2026-06-03T00:00:00"/>
    <x v="1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27"/>
    <s v="MI-TEMPS"/>
    <x v="2"/>
  </r>
  <r>
    <d v="2026-06-03T00:00:00"/>
    <x v="29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"/>
    <s v="AM"/>
    <x v="2"/>
  </r>
  <r>
    <d v="2026-06-03T00:00:00"/>
    <x v="34"/>
    <s v="AM"/>
    <x v="2"/>
  </r>
  <r>
    <d v="2026-06-03T00:00:00"/>
    <x v="12"/>
    <s v="AM"/>
    <x v="2"/>
  </r>
  <r>
    <d v="2026-06-03T00:00:00"/>
    <x v="35"/>
    <s v="AM"/>
    <x v="2"/>
  </r>
  <r>
    <d v="2026-06-03T00:00:00"/>
    <x v="36"/>
    <s v="AM"/>
    <x v="2"/>
  </r>
  <r>
    <d v="2026-06-03T00:00:00"/>
    <x v="37"/>
    <s v="DAY"/>
    <x v="2"/>
  </r>
  <r>
    <d v="2026-06-03T00:00:00"/>
    <x v="38"/>
    <s v="AM"/>
    <x v="2"/>
  </r>
  <r>
    <d v="2026-06-03T00:00:00"/>
    <x v="39"/>
    <s v="AM"/>
    <x v="2"/>
  </r>
  <r>
    <d v="2026-06-03T00:00:00"/>
    <x v="40"/>
    <s v="AM"/>
    <x v="2"/>
  </r>
  <r>
    <d v="2026-06-03T00:00:00"/>
    <x v="13"/>
    <s v="AM"/>
    <x v="2"/>
  </r>
  <r>
    <d v="2026-06-03T00:00:00"/>
    <x v="41"/>
    <s v="AM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7"/>
    <s v="AM"/>
    <x v="2"/>
  </r>
  <r>
    <d v="2026-06-03T00:00:00"/>
    <x v="48"/>
    <s v="MI-TEMPS"/>
    <x v="2"/>
  </r>
  <r>
    <d v="2026-06-03T00:00:00"/>
    <x v="49"/>
    <s v="AM"/>
    <x v="2"/>
  </r>
  <r>
    <d v="2026-06-03T00:00:00"/>
    <x v="5"/>
    <s v="AM"/>
    <x v="2"/>
  </r>
  <r>
    <d v="2026-06-03T00:00:00"/>
    <x v="6"/>
    <s v="AM"/>
    <x v="2"/>
  </r>
  <r>
    <d v="2026-06-03T00:00:00"/>
    <x v="7"/>
    <s v="AM"/>
    <x v="2"/>
  </r>
  <r>
    <d v="2026-06-03T00:00:00"/>
    <x v="8"/>
    <s v="AM"/>
    <x v="2"/>
  </r>
  <r>
    <d v="2026-06-03T00:00:00"/>
    <x v="9"/>
    <s v="AM"/>
    <x v="2"/>
  </r>
  <r>
    <d v="2026-06-03T00:00:00"/>
    <x v="51"/>
    <s v="DAY"/>
    <x v="2"/>
  </r>
  <r>
    <d v="2026-06-03T00:00:00"/>
    <x v="52"/>
    <s v="AM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5"/>
    <s v="PM"/>
    <x v="0"/>
  </r>
  <r>
    <d v="2026-06-03T00:00:00"/>
    <x v="60"/>
    <s v="PM"/>
    <x v="0"/>
  </r>
  <r>
    <d v="2026-06-03T00:00:00"/>
    <x v="61"/>
    <s v="PM"/>
    <x v="0"/>
  </r>
  <r>
    <d v="2026-06-03T00:00:00"/>
    <x v="82"/>
    <s v="PM"/>
    <x v="0"/>
  </r>
  <r>
    <d v="2026-06-03T00:00:00"/>
    <x v="87"/>
    <s v="PM"/>
    <x v="0"/>
  </r>
  <r>
    <d v="2026-06-03T00:00:00"/>
    <x v="88"/>
    <s v="PM"/>
    <x v="0"/>
  </r>
  <r>
    <d v="2026-06-03T00:00:00"/>
    <x v="89"/>
    <s v="PM"/>
    <x v="0"/>
  </r>
  <r>
    <d v="2026-06-03T00:00:00"/>
    <x v="71"/>
    <s v="PM"/>
    <x v="0"/>
  </r>
  <r>
    <d v="2026-06-03T00:00:00"/>
    <x v="93"/>
    <s v="PM"/>
    <x v="0"/>
  </r>
  <r>
    <d v="2026-06-03T00:00:00"/>
    <x v="94"/>
    <s v="PM"/>
    <x v="0"/>
  </r>
  <r>
    <d v="2026-06-03T00:00:00"/>
    <x v="73"/>
    <s v="PM"/>
    <x v="1"/>
  </r>
  <r>
    <d v="2026-06-03T00:00:00"/>
    <x v="68"/>
    <s v="PM"/>
    <x v="1"/>
  </r>
  <r>
    <d v="2026-06-03T00:00:00"/>
    <x v="95"/>
    <s v="PM"/>
    <x v="1"/>
  </r>
  <r>
    <d v="2026-06-03T00:00:00"/>
    <x v="96"/>
    <s v="PM"/>
    <x v="1"/>
  </r>
  <r>
    <d v="2026-06-03T00:00:00"/>
    <x v="74"/>
    <s v="PM"/>
    <x v="2"/>
  </r>
  <r>
    <d v="2026-06-03T00:00:00"/>
    <x v="59"/>
    <s v="PM"/>
    <x v="2"/>
  </r>
  <r>
    <d v="2026-06-03T00:00:00"/>
    <x v="76"/>
    <s v="PM"/>
    <x v="2"/>
  </r>
  <r>
    <d v="2026-06-03T00:00:00"/>
    <x v="77"/>
    <s v="PM"/>
    <x v="2"/>
  </r>
  <r>
    <d v="2026-06-03T00:00:00"/>
    <x v="78"/>
    <s v="PM"/>
    <x v="2"/>
  </r>
  <r>
    <d v="2026-06-03T00:00:00"/>
    <x v="79"/>
    <s v="PM"/>
    <x v="2"/>
  </r>
  <r>
    <d v="2026-06-03T00:00:00"/>
    <x v="80"/>
    <s v="PM"/>
    <x v="2"/>
  </r>
  <r>
    <d v="2026-06-03T00:00:00"/>
    <x v="81"/>
    <s v="PM"/>
    <x v="2"/>
  </r>
  <r>
    <d v="2026-06-03T00:00:00"/>
    <x v="62"/>
    <s v="PM"/>
    <x v="2"/>
  </r>
  <r>
    <d v="2026-06-03T00:00:00"/>
    <x v="83"/>
    <s v="PM"/>
    <x v="2"/>
  </r>
  <r>
    <d v="2026-06-03T00:00:00"/>
    <x v="63"/>
    <s v="PM"/>
    <x v="2"/>
  </r>
  <r>
    <d v="2026-06-03T00:00:00"/>
    <x v="64"/>
    <s v="PM"/>
    <x v="2"/>
  </r>
  <r>
    <d v="2026-06-03T00:00:00"/>
    <x v="65"/>
    <s v="PM"/>
    <x v="2"/>
  </r>
  <r>
    <d v="2026-06-03T00:00:00"/>
    <x v="84"/>
    <s v="PM"/>
    <x v="2"/>
  </r>
  <r>
    <d v="2026-06-03T00:00:00"/>
    <x v="85"/>
    <s v="PM"/>
    <x v="2"/>
  </r>
  <r>
    <d v="2026-06-03T00:00:00"/>
    <x v="86"/>
    <s v="PM"/>
    <x v="2"/>
  </r>
  <r>
    <d v="2026-06-03T00:00:00"/>
    <x v="66"/>
    <s v="PM"/>
    <x v="2"/>
  </r>
  <r>
    <d v="2026-06-03T00:00:00"/>
    <x v="90"/>
    <s v="PM"/>
    <x v="2"/>
  </r>
  <r>
    <d v="2026-06-03T00:00:00"/>
    <x v="69"/>
    <s v="PM"/>
    <x v="2"/>
  </r>
  <r>
    <d v="2026-06-03T00:00:00"/>
    <x v="91"/>
    <s v="PM"/>
    <x v="2"/>
  </r>
  <r>
    <d v="2026-06-03T00:00:00"/>
    <x v="67"/>
    <s v="PM"/>
    <x v="2"/>
  </r>
  <r>
    <d v="2026-06-03T00:00:00"/>
    <x v="70"/>
    <s v="PM"/>
    <x v="2"/>
  </r>
  <r>
    <d v="2026-06-03T00:00:00"/>
    <x v="92"/>
    <s v="PM"/>
    <x v="2"/>
  </r>
  <r>
    <d v="2026-06-03T00:00:00"/>
    <x v="72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06"/>
    <s v="AM"/>
    <x v="4"/>
  </r>
  <r>
    <d v="2026-06-03T00:00:00"/>
    <x v="123"/>
    <s v="AM"/>
    <x v="5"/>
  </r>
  <r>
    <d v="2026-06-03T00:00:00"/>
    <x v="103"/>
    <s v="AM"/>
    <x v="6"/>
  </r>
  <r>
    <d v="2026-06-03T00:00:00"/>
    <x v="112"/>
    <s v="DAY"/>
    <x v="6"/>
  </r>
  <r>
    <d v="2026-06-03T00:00:00"/>
    <x v="117"/>
    <s v="AM"/>
    <x v="6"/>
  </r>
  <r>
    <d v="2026-06-03T00:00:00"/>
    <x v="118"/>
    <s v="AM"/>
    <x v="6"/>
  </r>
  <r>
    <d v="2026-06-03T00:00:00"/>
    <x v="124"/>
    <s v="AM"/>
    <x v="6"/>
  </r>
  <r>
    <d v="2026-06-03T00:00:00"/>
    <x v="129"/>
    <s v="AM"/>
    <x v="6"/>
  </r>
  <r>
    <d v="2026-06-03T00:00:00"/>
    <x v="104"/>
    <s v="AM"/>
    <x v="7"/>
  </r>
  <r>
    <d v="2026-06-03T00:00:00"/>
    <x v="110"/>
    <s v="AM"/>
    <x v="7"/>
  </r>
  <r>
    <d v="2026-06-03T00:00:00"/>
    <x v="105"/>
    <s v="AM"/>
    <x v="7"/>
  </r>
  <r>
    <d v="2026-06-03T00:00:00"/>
    <x v="111"/>
    <s v="AM"/>
    <x v="7"/>
  </r>
  <r>
    <d v="2026-06-03T00:00:00"/>
    <x v="113"/>
    <s v="AM"/>
    <x v="7"/>
  </r>
  <r>
    <d v="2026-06-03T00:00:00"/>
    <x v="114"/>
    <s v="DAY"/>
    <x v="7"/>
  </r>
  <r>
    <d v="2026-06-03T00:00:00"/>
    <x v="115"/>
    <s v="AM"/>
    <x v="7"/>
  </r>
  <r>
    <d v="2026-06-03T00:00:00"/>
    <x v="116"/>
    <s v="AM"/>
    <x v="7"/>
  </r>
  <r>
    <d v="2026-06-03T00:00:00"/>
    <x v="119"/>
    <s v="AM"/>
    <x v="7"/>
  </r>
  <r>
    <d v="2026-06-03T00:00:00"/>
    <x v="120"/>
    <s v="AM"/>
    <x v="7"/>
  </r>
  <r>
    <d v="2026-06-03T00:00:00"/>
    <x v="121"/>
    <s v="AM"/>
    <x v="7"/>
  </r>
  <r>
    <d v="2026-06-03T00:00:00"/>
    <x v="107"/>
    <s v="AM"/>
    <x v="7"/>
  </r>
  <r>
    <d v="2026-06-03T00:00:00"/>
    <x v="122"/>
    <s v="AM"/>
    <x v="7"/>
  </r>
  <r>
    <d v="2026-06-03T00:00:00"/>
    <x v="108"/>
    <s v="AM"/>
    <x v="7"/>
  </r>
  <r>
    <d v="2026-06-03T00:00:00"/>
    <x v="102"/>
    <s v="AM"/>
    <x v="7"/>
  </r>
  <r>
    <d v="2026-06-03T00:00:00"/>
    <x v="109"/>
    <s v="AM"/>
    <x v="7"/>
  </r>
  <r>
    <d v="2026-06-03T00:00:00"/>
    <x v="125"/>
    <s v="DAY"/>
    <x v="7"/>
  </r>
  <r>
    <d v="2026-06-03T00:00:00"/>
    <x v="126"/>
    <s v="AM"/>
    <x v="7"/>
  </r>
  <r>
    <d v="2026-06-03T00:00:00"/>
    <x v="127"/>
    <s v="AM"/>
    <x v="7"/>
  </r>
  <r>
    <d v="2026-06-03T00:00:00"/>
    <x v="128"/>
    <s v="AM"/>
    <x v="7"/>
  </r>
  <r>
    <d v="2026-06-03T00:00:00"/>
    <x v="130"/>
    <s v="AM"/>
    <x v="7"/>
  </r>
  <r>
    <d v="2026-06-03T00:00:00"/>
    <x v="156"/>
    <s v="PM"/>
    <x v="4"/>
  </r>
  <r>
    <d v="2026-06-03T00:00:00"/>
    <x v="134"/>
    <s v="PM"/>
    <x v="5"/>
  </r>
  <r>
    <d v="2026-06-03T00:00:00"/>
    <x v="135"/>
    <s v="PM"/>
    <x v="6"/>
  </r>
  <r>
    <d v="2026-06-03T00:00:00"/>
    <x v="143"/>
    <s v="PM"/>
    <x v="6"/>
  </r>
  <r>
    <d v="2026-06-03T00:00:00"/>
    <x v="146"/>
    <s v="PM"/>
    <x v="6"/>
  </r>
  <r>
    <d v="2026-06-03T00:00:00"/>
    <x v="138"/>
    <s v="PM"/>
    <x v="6"/>
  </r>
  <r>
    <d v="2026-06-03T00:00:00"/>
    <x v="148"/>
    <s v="PM"/>
    <x v="6"/>
  </r>
  <r>
    <d v="2026-06-03T00:00:00"/>
    <x v="151"/>
    <s v="PM"/>
    <x v="6"/>
  </r>
  <r>
    <d v="2026-06-03T00:00:00"/>
    <x v="152"/>
    <s v="PM"/>
    <x v="6"/>
  </r>
  <r>
    <d v="2026-06-03T00:00:00"/>
    <x v="154"/>
    <s v="PM"/>
    <x v="6"/>
  </r>
  <r>
    <d v="2026-06-03T00:00:00"/>
    <x v="131"/>
    <s v="PM"/>
    <x v="6"/>
  </r>
  <r>
    <d v="2026-06-03T00:00:00"/>
    <x v="133"/>
    <s v="PM"/>
    <x v="7"/>
  </r>
  <r>
    <d v="2026-06-03T00:00:00"/>
    <x v="142"/>
    <s v="PM"/>
    <x v="7"/>
  </r>
  <r>
    <d v="2026-06-03T00:00:00"/>
    <x v="132"/>
    <s v="PM"/>
    <x v="7"/>
  </r>
  <r>
    <d v="2026-06-03T00:00:00"/>
    <x v="136"/>
    <s v="PM"/>
    <x v="7"/>
  </r>
  <r>
    <d v="2026-06-03T00:00:00"/>
    <x v="144"/>
    <s v="PM"/>
    <x v="7"/>
  </r>
  <r>
    <d v="2026-06-03T00:00:00"/>
    <x v="145"/>
    <s v="PM"/>
    <x v="7"/>
  </r>
  <r>
    <d v="2026-06-03T00:00:00"/>
    <x v="137"/>
    <s v="PM"/>
    <x v="7"/>
  </r>
  <r>
    <d v="2026-06-03T00:00:00"/>
    <x v="147"/>
    <s v="PM"/>
    <x v="7"/>
  </r>
  <r>
    <d v="2026-06-03T00:00:00"/>
    <x v="139"/>
    <s v="PM"/>
    <x v="7"/>
  </r>
  <r>
    <d v="2026-06-03T00:00:00"/>
    <x v="149"/>
    <s v="PM"/>
    <x v="7"/>
  </r>
  <r>
    <d v="2026-06-03T00:00:00"/>
    <x v="150"/>
    <s v="PM"/>
    <x v="7"/>
  </r>
  <r>
    <d v="2026-06-03T00:00:00"/>
    <x v="140"/>
    <s v="PM"/>
    <x v="7"/>
  </r>
  <r>
    <d v="2026-06-03T00:00:00"/>
    <x v="153"/>
    <s v="PM"/>
    <x v="7"/>
  </r>
  <r>
    <d v="2026-06-03T00:00:00"/>
    <x v="141"/>
    <s v="PM"/>
    <x v="7"/>
  </r>
  <r>
    <d v="2026-06-03T00:00:00"/>
    <x v="155"/>
    <s v="PM"/>
    <x v="7"/>
  </r>
  <r>
    <d v="2026-06-03T00:00:00"/>
    <x v="22"/>
    <s v="AM"/>
    <x v="0"/>
  </r>
  <r>
    <d v="2026-06-03T00:00:00"/>
    <x v="11"/>
    <s v="AM"/>
    <x v="0"/>
  </r>
  <r>
    <d v="2026-06-03T00:00:00"/>
    <x v="27"/>
    <s v="MI-TEMPS"/>
    <x v="0"/>
  </r>
  <r>
    <d v="2026-06-03T00:00:00"/>
    <x v="29"/>
    <s v="AM"/>
    <x v="0"/>
  </r>
  <r>
    <d v="2026-06-03T00:00:00"/>
    <x v="33"/>
    <s v="AM"/>
    <x v="0"/>
  </r>
  <r>
    <d v="2026-06-03T00:00:00"/>
    <x v="38"/>
    <s v="AM"/>
    <x v="0"/>
  </r>
  <r>
    <d v="2026-06-03T00:00:00"/>
    <x v="40"/>
    <s v="AM"/>
    <x v="0"/>
  </r>
  <r>
    <d v="2026-06-03T00:00:00"/>
    <x v="13"/>
    <s v="AM"/>
    <x v="0"/>
  </r>
  <r>
    <d v="2026-06-03T00:00:00"/>
    <x v="48"/>
    <s v="MI-TEMPS"/>
    <x v="0"/>
  </r>
  <r>
    <d v="2026-06-03T00:00:00"/>
    <x v="50"/>
    <s v="AM"/>
    <x v="0"/>
  </r>
  <r>
    <d v="2026-06-03T00:00:00"/>
    <x v="14"/>
    <s v="AM"/>
    <x v="1"/>
  </r>
  <r>
    <d v="2026-06-03T00:00:00"/>
    <x v="18"/>
    <s v="AM"/>
    <x v="1"/>
  </r>
  <r>
    <d v="2026-06-03T00:00:00"/>
    <x v="25"/>
    <s v="MI-TEMPS"/>
    <x v="1"/>
  </r>
  <r>
    <d v="2026-06-03T00:00:00"/>
    <x v="31"/>
    <s v="AM"/>
    <x v="1"/>
  </r>
  <r>
    <d v="2026-06-03T00:00:00"/>
    <x v="10"/>
    <s v="AM"/>
    <x v="2"/>
  </r>
  <r>
    <d v="2026-06-03T00:00:00"/>
    <x v="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19"/>
    <s v="AM"/>
    <x v="2"/>
  </r>
  <r>
    <d v="2026-06-03T00:00:00"/>
    <x v="20"/>
    <s v="AM"/>
    <x v="2"/>
  </r>
  <r>
    <d v="2026-06-03T00:00:00"/>
    <x v="21"/>
    <s v="AM"/>
    <x v="2"/>
  </r>
  <r>
    <d v="2026-06-03T00:00:00"/>
    <x v="1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6"/>
    <s v="AM"/>
    <x v="2"/>
  </r>
  <r>
    <d v="2026-06-03T00:00:00"/>
    <x v="28"/>
    <s v="AM"/>
    <x v="2"/>
  </r>
  <r>
    <d v="2026-06-03T00:00:00"/>
    <x v="30"/>
    <s v="DAY"/>
    <x v="2"/>
  </r>
  <r>
    <d v="2026-06-03T00:00:00"/>
    <x v="2"/>
    <s v="AM"/>
    <x v="2"/>
  </r>
  <r>
    <d v="2026-06-03T00:00:00"/>
    <x v="32"/>
    <s v="MI-TEMPS"/>
    <x v="2"/>
  </r>
  <r>
    <d v="2026-06-03T00:00:00"/>
    <x v="3"/>
    <s v="AM"/>
    <x v="2"/>
  </r>
  <r>
    <d v="2026-06-03T00:00:00"/>
    <x v="34"/>
    <s v="AM"/>
    <x v="2"/>
  </r>
  <r>
    <d v="2026-06-03T00:00:00"/>
    <x v="12"/>
    <s v="AM"/>
    <x v="2"/>
  </r>
  <r>
    <d v="2026-06-03T00:00:00"/>
    <x v="35"/>
    <s v="AM"/>
    <x v="2"/>
  </r>
  <r>
    <d v="2026-06-03T00:00:00"/>
    <x v="36"/>
    <s v="AM"/>
    <x v="2"/>
  </r>
  <r>
    <d v="2026-06-03T00:00:00"/>
    <x v="37"/>
    <s v="DAY"/>
    <x v="2"/>
  </r>
  <r>
    <d v="2026-06-03T00:00:00"/>
    <x v="39"/>
    <s v="AM"/>
    <x v="2"/>
  </r>
  <r>
    <d v="2026-06-03T00:00:00"/>
    <x v="4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7"/>
    <s v="AM"/>
    <x v="2"/>
  </r>
  <r>
    <d v="2026-06-03T00:00:00"/>
    <x v="49"/>
    <s v="AM"/>
    <x v="2"/>
  </r>
  <r>
    <d v="2026-06-03T00:00:00"/>
    <x v="5"/>
    <s v="AM"/>
    <x v="2"/>
  </r>
  <r>
    <d v="2026-06-03T00:00:00"/>
    <x v="6"/>
    <s v="AM"/>
    <x v="2"/>
  </r>
  <r>
    <d v="2026-06-03T00:00:00"/>
    <x v="7"/>
    <s v="AM"/>
    <x v="2"/>
  </r>
  <r>
    <d v="2026-06-03T00:00:00"/>
    <x v="8"/>
    <s v="AM"/>
    <x v="2"/>
  </r>
  <r>
    <d v="2026-06-03T00:00:00"/>
    <x v="9"/>
    <s v="AM"/>
    <x v="2"/>
  </r>
  <r>
    <d v="2026-06-03T00:00:00"/>
    <x v="51"/>
    <s v="DAY"/>
    <x v="2"/>
  </r>
  <r>
    <d v="2026-06-03T00:00:00"/>
    <x v="52"/>
    <s v="AM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3"/>
    <s v="PM"/>
    <x v="0"/>
  </r>
  <r>
    <d v="2026-06-03T00:00:00"/>
    <x v="59"/>
    <s v="PM"/>
    <x v="0"/>
  </r>
  <r>
    <d v="2026-06-03T00:00:00"/>
    <x v="60"/>
    <s v="PM"/>
    <x v="0"/>
  </r>
  <r>
    <d v="2026-06-03T00:00:00"/>
    <x v="76"/>
    <s v="PM"/>
    <x v="0"/>
  </r>
  <r>
    <d v="2026-06-03T00:00:00"/>
    <x v="65"/>
    <s v="PM"/>
    <x v="0"/>
  </r>
  <r>
    <d v="2026-06-03T00:00:00"/>
    <x v="84"/>
    <s v="PM"/>
    <x v="0"/>
  </r>
  <r>
    <d v="2026-06-03T00:00:00"/>
    <x v="69"/>
    <s v="PM"/>
    <x v="0"/>
  </r>
  <r>
    <d v="2026-06-03T00:00:00"/>
    <x v="68"/>
    <s v="PM"/>
    <x v="0"/>
  </r>
  <r>
    <d v="2026-06-03T00:00:00"/>
    <x v="93"/>
    <s v="PM"/>
    <x v="0"/>
  </r>
  <r>
    <d v="2026-06-03T00:00:00"/>
    <x v="94"/>
    <s v="PM"/>
    <x v="0"/>
  </r>
  <r>
    <d v="2026-06-03T00:00:00"/>
    <x v="80"/>
    <s v="PM"/>
    <x v="1"/>
  </r>
  <r>
    <d v="2026-06-03T00:00:00"/>
    <x v="62"/>
    <s v="PM"/>
    <x v="1"/>
  </r>
  <r>
    <d v="2026-06-03T00:00:00"/>
    <x v="86"/>
    <s v="PM"/>
    <x v="1"/>
  </r>
  <r>
    <d v="2026-06-03T00:00:00"/>
    <x v="89"/>
    <s v="PM"/>
    <x v="1"/>
  </r>
  <r>
    <d v="2026-06-03T00:00:00"/>
    <x v="74"/>
    <s v="PM"/>
    <x v="2"/>
  </r>
  <r>
    <d v="2026-06-03T00:00:00"/>
    <x v="75"/>
    <s v="PM"/>
    <x v="2"/>
  </r>
  <r>
    <d v="2026-06-03T00:00:00"/>
    <x v="77"/>
    <s v="PM"/>
    <x v="2"/>
  </r>
  <r>
    <d v="2026-06-03T00:00:00"/>
    <x v="78"/>
    <s v="PM"/>
    <x v="2"/>
  </r>
  <r>
    <d v="2026-06-03T00:00:00"/>
    <x v="79"/>
    <s v="PM"/>
    <x v="2"/>
  </r>
  <r>
    <d v="2026-06-03T00:00:00"/>
    <x v="61"/>
    <s v="PM"/>
    <x v="2"/>
  </r>
  <r>
    <d v="2026-06-03T00:00:00"/>
    <x v="81"/>
    <s v="PM"/>
    <x v="2"/>
  </r>
  <r>
    <d v="2026-06-03T00:00:00"/>
    <x v="82"/>
    <s v="PM"/>
    <x v="2"/>
  </r>
  <r>
    <d v="2026-06-03T00:00:00"/>
    <x v="83"/>
    <s v="PM"/>
    <x v="2"/>
  </r>
  <r>
    <d v="2026-06-03T00:00:00"/>
    <x v="63"/>
    <s v="PM"/>
    <x v="2"/>
  </r>
  <r>
    <d v="2026-06-03T00:00:00"/>
    <x v="64"/>
    <s v="PM"/>
    <x v="2"/>
  </r>
  <r>
    <d v="2026-06-03T00:00:00"/>
    <x v="85"/>
    <s v="PM"/>
    <x v="2"/>
  </r>
  <r>
    <d v="2026-06-03T00:00:00"/>
    <x v="66"/>
    <s v="PM"/>
    <x v="2"/>
  </r>
  <r>
    <d v="2026-06-03T00:00:00"/>
    <x v="87"/>
    <s v="PM"/>
    <x v="2"/>
  </r>
  <r>
    <d v="2026-06-03T00:00:00"/>
    <x v="88"/>
    <s v="PM"/>
    <x v="2"/>
  </r>
  <r>
    <d v="2026-06-03T00:00:00"/>
    <x v="90"/>
    <s v="PM"/>
    <x v="2"/>
  </r>
  <r>
    <d v="2026-06-03T00:00:00"/>
    <x v="91"/>
    <s v="PM"/>
    <x v="2"/>
  </r>
  <r>
    <d v="2026-06-03T00:00:00"/>
    <x v="67"/>
    <s v="PM"/>
    <x v="2"/>
  </r>
  <r>
    <d v="2026-06-03T00:00:00"/>
    <x v="70"/>
    <s v="PM"/>
    <x v="2"/>
  </r>
  <r>
    <d v="2026-06-03T00:00:00"/>
    <x v="71"/>
    <s v="PM"/>
    <x v="2"/>
  </r>
  <r>
    <d v="2026-06-03T00:00:00"/>
    <x v="92"/>
    <s v="PM"/>
    <x v="2"/>
  </r>
  <r>
    <d v="2026-06-03T00:00:00"/>
    <x v="72"/>
    <s v="PM"/>
    <x v="2"/>
  </r>
  <r>
    <d v="2026-06-03T00:00:00"/>
    <x v="95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09"/>
    <s v="AM"/>
    <x v="4"/>
  </r>
  <r>
    <d v="2026-06-03T00:00:00"/>
    <x v="113"/>
    <s v="AM"/>
    <x v="5"/>
  </r>
  <r>
    <d v="2026-06-03T00:00:00"/>
    <x v="104"/>
    <s v="AM"/>
    <x v="6"/>
  </r>
  <r>
    <d v="2026-06-03T00:00:00"/>
    <x v="111"/>
    <s v="AM"/>
    <x v="6"/>
  </r>
  <r>
    <d v="2026-06-03T00:00:00"/>
    <x v="106"/>
    <s v="AM"/>
    <x v="6"/>
  </r>
  <r>
    <d v="2026-06-03T00:00:00"/>
    <x v="119"/>
    <s v="AM"/>
    <x v="6"/>
  </r>
  <r>
    <d v="2026-06-03T00:00:00"/>
    <x v="108"/>
    <s v="AM"/>
    <x v="6"/>
  </r>
  <r>
    <d v="2026-06-03T00:00:00"/>
    <x v="130"/>
    <s v="AM"/>
    <x v="6"/>
  </r>
  <r>
    <d v="2026-06-03T00:00:00"/>
    <x v="110"/>
    <s v="AM"/>
    <x v="7"/>
  </r>
  <r>
    <d v="2026-06-03T00:00:00"/>
    <x v="105"/>
    <s v="AM"/>
    <x v="7"/>
  </r>
  <r>
    <d v="2026-06-03T00:00:00"/>
    <x v="103"/>
    <s v="AM"/>
    <x v="7"/>
  </r>
  <r>
    <d v="2026-06-03T00:00:00"/>
    <x v="112"/>
    <s v="DAY"/>
    <x v="7"/>
  </r>
  <r>
    <d v="2026-06-03T00:00:00"/>
    <x v="114"/>
    <s v="DAY"/>
    <x v="7"/>
  </r>
  <r>
    <d v="2026-06-03T00:00:00"/>
    <x v="115"/>
    <s v="AM"/>
    <x v="7"/>
  </r>
  <r>
    <d v="2026-06-03T00:00:00"/>
    <x v="116"/>
    <s v="AM"/>
    <x v="7"/>
  </r>
  <r>
    <d v="2026-06-03T00:00:00"/>
    <x v="117"/>
    <s v="AM"/>
    <x v="7"/>
  </r>
  <r>
    <d v="2026-06-03T00:00:00"/>
    <x v="118"/>
    <s v="AM"/>
    <x v="7"/>
  </r>
  <r>
    <d v="2026-06-03T00:00:00"/>
    <x v="120"/>
    <s v="AM"/>
    <x v="7"/>
  </r>
  <r>
    <d v="2026-06-03T00:00:00"/>
    <x v="121"/>
    <s v="AM"/>
    <x v="7"/>
  </r>
  <r>
    <d v="2026-06-03T00:00:00"/>
    <x v="107"/>
    <s v="AM"/>
    <x v="7"/>
  </r>
  <r>
    <d v="2026-06-03T00:00:00"/>
    <x v="122"/>
    <s v="AM"/>
    <x v="7"/>
  </r>
  <r>
    <d v="2026-06-03T00:00:00"/>
    <x v="102"/>
    <s v="AM"/>
    <x v="7"/>
  </r>
  <r>
    <d v="2026-06-03T00:00:00"/>
    <x v="123"/>
    <s v="AM"/>
    <x v="7"/>
  </r>
  <r>
    <d v="2026-06-03T00:00:00"/>
    <x v="124"/>
    <s v="AM"/>
    <x v="7"/>
  </r>
  <r>
    <d v="2026-06-03T00:00:00"/>
    <x v="125"/>
    <s v="DAY"/>
    <x v="7"/>
  </r>
  <r>
    <d v="2026-06-03T00:00:00"/>
    <x v="126"/>
    <s v="AM"/>
    <x v="7"/>
  </r>
  <r>
    <d v="2026-06-03T00:00:00"/>
    <x v="127"/>
    <s v="AM"/>
    <x v="7"/>
  </r>
  <r>
    <d v="2026-06-03T00:00:00"/>
    <x v="128"/>
    <s v="AM"/>
    <x v="7"/>
  </r>
  <r>
    <d v="2026-06-03T00:00:00"/>
    <x v="129"/>
    <s v="AM"/>
    <x v="7"/>
  </r>
  <r>
    <d v="2026-06-03T00:00:00"/>
    <x v="146"/>
    <s v="PM"/>
    <x v="4"/>
  </r>
  <r>
    <d v="2026-06-03T00:00:00"/>
    <x v="138"/>
    <s v="PM"/>
    <x v="5"/>
  </r>
  <r>
    <d v="2026-06-03T00:00:00"/>
    <x v="134"/>
    <s v="PM"/>
    <x v="6"/>
  </r>
  <r>
    <d v="2026-06-03T00:00:00"/>
    <x v="132"/>
    <s v="PM"/>
    <x v="6"/>
  </r>
  <r>
    <d v="2026-06-03T00:00:00"/>
    <x v="144"/>
    <s v="PM"/>
    <x v="6"/>
  </r>
  <r>
    <d v="2026-06-03T00:00:00"/>
    <x v="145"/>
    <s v="PM"/>
    <x v="6"/>
  </r>
  <r>
    <d v="2026-06-03T00:00:00"/>
    <x v="139"/>
    <s v="PM"/>
    <x v="6"/>
  </r>
  <r>
    <d v="2026-06-03T00:00:00"/>
    <x v="151"/>
    <s v="PM"/>
    <x v="6"/>
  </r>
  <r>
    <d v="2026-06-03T00:00:00"/>
    <x v="140"/>
    <s v="PM"/>
    <x v="6"/>
  </r>
  <r>
    <d v="2026-06-03T00:00:00"/>
    <x v="153"/>
    <s v="PM"/>
    <x v="6"/>
  </r>
  <r>
    <d v="2026-06-03T00:00:00"/>
    <x v="155"/>
    <s v="PM"/>
    <x v="6"/>
  </r>
  <r>
    <d v="2026-06-03T00:00:00"/>
    <x v="133"/>
    <s v="PM"/>
    <x v="7"/>
  </r>
  <r>
    <d v="2026-06-03T00:00:00"/>
    <x v="135"/>
    <s v="PM"/>
    <x v="7"/>
  </r>
  <r>
    <d v="2026-06-03T00:00:00"/>
    <x v="142"/>
    <s v="PM"/>
    <x v="7"/>
  </r>
  <r>
    <d v="2026-06-03T00:00:00"/>
    <x v="143"/>
    <s v="PM"/>
    <x v="7"/>
  </r>
  <r>
    <d v="2026-06-03T00:00:00"/>
    <x v="136"/>
    <s v="PM"/>
    <x v="7"/>
  </r>
  <r>
    <d v="2026-06-03T00:00:00"/>
    <x v="137"/>
    <s v="PM"/>
    <x v="7"/>
  </r>
  <r>
    <d v="2026-06-03T00:00:00"/>
    <x v="147"/>
    <s v="PM"/>
    <x v="7"/>
  </r>
  <r>
    <d v="2026-06-03T00:00:00"/>
    <x v="148"/>
    <s v="PM"/>
    <x v="7"/>
  </r>
  <r>
    <d v="2026-06-03T00:00:00"/>
    <x v="149"/>
    <s v="PM"/>
    <x v="7"/>
  </r>
  <r>
    <d v="2026-06-03T00:00:00"/>
    <x v="150"/>
    <s v="PM"/>
    <x v="7"/>
  </r>
  <r>
    <d v="2026-06-03T00:00:00"/>
    <x v="152"/>
    <s v="PM"/>
    <x v="7"/>
  </r>
  <r>
    <d v="2026-06-03T00:00:00"/>
    <x v="154"/>
    <s v="PM"/>
    <x v="7"/>
  </r>
  <r>
    <d v="2026-06-03T00:00:00"/>
    <x v="141"/>
    <s v="PM"/>
    <x v="7"/>
  </r>
  <r>
    <d v="2026-06-03T00:00:00"/>
    <x v="156"/>
    <s v="PM"/>
    <x v="7"/>
  </r>
  <r>
    <d v="2026-06-03T00:00:00"/>
    <x v="131"/>
    <s v="PM"/>
    <x v="7"/>
  </r>
  <r>
    <d v="2026-06-03T00:00:00"/>
    <x v="0"/>
    <s v="AM"/>
    <x v="0"/>
  </r>
  <r>
    <d v="2026-06-03T00:00:00"/>
    <x v="18"/>
    <s v="AM"/>
    <x v="0"/>
  </r>
  <r>
    <d v="2026-06-03T00:00:00"/>
    <x v="24"/>
    <s v="MI-TEMPS"/>
    <x v="0"/>
  </r>
  <r>
    <d v="2026-06-03T00:00:00"/>
    <x v="31"/>
    <s v="AM"/>
    <x v="0"/>
  </r>
  <r>
    <d v="2026-06-03T00:00:00"/>
    <x v="34"/>
    <s v="AM"/>
    <x v="0"/>
  </r>
  <r>
    <d v="2026-06-03T00:00:00"/>
    <x v="36"/>
    <s v="AM"/>
    <x v="0"/>
  </r>
  <r>
    <d v="2026-06-03T00:00:00"/>
    <x v="5"/>
    <s v="AM"/>
    <x v="0"/>
  </r>
  <r>
    <d v="2026-06-03T00:00:00"/>
    <x v="7"/>
    <s v="AM"/>
    <x v="0"/>
  </r>
  <r>
    <d v="2026-06-03T00:00:00"/>
    <x v="8"/>
    <s v="AM"/>
    <x v="0"/>
  </r>
  <r>
    <d v="2026-06-03T00:00:00"/>
    <x v="53"/>
    <s v="MI-TEMPS"/>
    <x v="0"/>
  </r>
  <r>
    <d v="2026-06-03T00:00:00"/>
    <x v="33"/>
    <s v="AM"/>
    <x v="1"/>
  </r>
  <r>
    <d v="2026-06-03T00:00:00"/>
    <x v="4"/>
    <s v="AM"/>
    <x v="1"/>
  </r>
  <r>
    <d v="2026-06-03T00:00:00"/>
    <x v="42"/>
    <s v="MI-TEMPS"/>
    <x v="1"/>
  </r>
  <r>
    <d v="2026-06-03T00:00:00"/>
    <x v="43"/>
    <s v="AM"/>
    <x v="1"/>
  </r>
  <r>
    <d v="2026-06-03T00:00:00"/>
    <x v="10"/>
    <s v="AM"/>
    <x v="2"/>
  </r>
  <r>
    <d v="2026-06-03T00:00:00"/>
    <x v="14"/>
    <s v="AM"/>
    <x v="2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19"/>
    <s v="AM"/>
    <x v="2"/>
  </r>
  <r>
    <d v="2026-06-03T00:00:00"/>
    <x v="20"/>
    <s v="AM"/>
    <x v="2"/>
  </r>
  <r>
    <d v="2026-06-03T00:00:00"/>
    <x v="21"/>
    <s v="AM"/>
    <x v="2"/>
  </r>
  <r>
    <d v="2026-06-03T00:00:00"/>
    <x v="22"/>
    <s v="AM"/>
    <x v="2"/>
  </r>
  <r>
    <d v="2026-06-03T00:00:00"/>
    <x v="1"/>
    <s v="AM"/>
    <x v="2"/>
  </r>
  <r>
    <d v="2026-06-03T00:00:00"/>
    <x v="23"/>
    <s v="AM"/>
    <x v="2"/>
  </r>
  <r>
    <d v="2026-06-03T00:00:00"/>
    <x v="25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27"/>
    <s v="MI-TEMPS"/>
    <x v="2"/>
  </r>
  <r>
    <d v="2026-06-03T00:00:00"/>
    <x v="28"/>
    <s v="AM"/>
    <x v="2"/>
  </r>
  <r>
    <d v="2026-06-03T00:00:00"/>
    <x v="29"/>
    <s v="AM"/>
    <x v="2"/>
  </r>
  <r>
    <d v="2026-06-03T00:00:00"/>
    <x v="30"/>
    <s v="DAY"/>
    <x v="2"/>
  </r>
  <r>
    <d v="2026-06-03T00:00:00"/>
    <x v="2"/>
    <s v="AM"/>
    <x v="2"/>
  </r>
  <r>
    <d v="2026-06-03T00:00:00"/>
    <x v="32"/>
    <s v="MI-TEMPS"/>
    <x v="2"/>
  </r>
  <r>
    <d v="2026-06-03T00:00:00"/>
    <x v="3"/>
    <s v="AM"/>
    <x v="2"/>
  </r>
  <r>
    <d v="2026-06-03T00:00:00"/>
    <x v="12"/>
    <s v="AM"/>
    <x v="2"/>
  </r>
  <r>
    <d v="2026-06-03T00:00:00"/>
    <x v="35"/>
    <s v="AM"/>
    <x v="2"/>
  </r>
  <r>
    <d v="2026-06-03T00:00:00"/>
    <x v="37"/>
    <s v="DAY"/>
    <x v="2"/>
  </r>
  <r>
    <d v="2026-06-03T00:00:00"/>
    <x v="38"/>
    <s v="AM"/>
    <x v="2"/>
  </r>
  <r>
    <d v="2026-06-03T00:00:00"/>
    <x v="39"/>
    <s v="AM"/>
    <x v="2"/>
  </r>
  <r>
    <d v="2026-06-03T00:00:00"/>
    <x v="40"/>
    <s v="AM"/>
    <x v="2"/>
  </r>
  <r>
    <d v="2026-06-03T00:00:00"/>
    <x v="13"/>
    <s v="AM"/>
    <x v="2"/>
  </r>
  <r>
    <d v="2026-06-03T00:00:00"/>
    <x v="41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7"/>
    <s v="AM"/>
    <x v="2"/>
  </r>
  <r>
    <d v="2026-06-03T00:00:00"/>
    <x v="48"/>
    <s v="MI-TEMPS"/>
    <x v="2"/>
  </r>
  <r>
    <d v="2026-06-03T00:00:00"/>
    <x v="49"/>
    <s v="AM"/>
    <x v="2"/>
  </r>
  <r>
    <d v="2026-06-03T00:00:00"/>
    <x v="50"/>
    <s v="AM"/>
    <x v="2"/>
  </r>
  <r>
    <d v="2026-06-03T00:00:00"/>
    <x v="6"/>
    <s v="AM"/>
    <x v="2"/>
  </r>
  <r>
    <d v="2026-06-03T00:00:00"/>
    <x v="9"/>
    <s v="AM"/>
    <x v="2"/>
  </r>
  <r>
    <d v="2026-06-03T00:00:00"/>
    <x v="51"/>
    <s v="DAY"/>
    <x v="2"/>
  </r>
  <r>
    <d v="2026-06-03T00:00:00"/>
    <x v="52"/>
    <s v="AM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4"/>
    <s v="PM"/>
    <x v="0"/>
  </r>
  <r>
    <d v="2026-06-03T00:00:00"/>
    <x v="76"/>
    <s v="PM"/>
    <x v="0"/>
  </r>
  <r>
    <d v="2026-06-03T00:00:00"/>
    <x v="78"/>
    <s v="PM"/>
    <x v="0"/>
  </r>
  <r>
    <d v="2026-06-03T00:00:00"/>
    <x v="79"/>
    <s v="PM"/>
    <x v="0"/>
  </r>
  <r>
    <d v="2026-06-03T00:00:00"/>
    <x v="81"/>
    <s v="PM"/>
    <x v="0"/>
  </r>
  <r>
    <d v="2026-06-03T00:00:00"/>
    <x v="86"/>
    <s v="PM"/>
    <x v="0"/>
  </r>
  <r>
    <d v="2026-06-03T00:00:00"/>
    <x v="90"/>
    <s v="PM"/>
    <x v="0"/>
  </r>
  <r>
    <d v="2026-06-03T00:00:00"/>
    <x v="91"/>
    <s v="PM"/>
    <x v="0"/>
  </r>
  <r>
    <d v="2026-06-03T00:00:00"/>
    <x v="67"/>
    <s v="PM"/>
    <x v="0"/>
  </r>
  <r>
    <d v="2026-06-03T00:00:00"/>
    <x v="95"/>
    <s v="PM"/>
    <x v="0"/>
  </r>
  <r>
    <d v="2026-06-03T00:00:00"/>
    <x v="77"/>
    <s v="PM"/>
    <x v="1"/>
  </r>
  <r>
    <d v="2026-06-03T00:00:00"/>
    <x v="63"/>
    <s v="PM"/>
    <x v="1"/>
  </r>
  <r>
    <d v="2026-06-03T00:00:00"/>
    <x v="87"/>
    <s v="PM"/>
    <x v="1"/>
  </r>
  <r>
    <d v="2026-06-03T00:00:00"/>
    <x v="92"/>
    <s v="PM"/>
    <x v="1"/>
  </r>
  <r>
    <d v="2026-06-03T00:00:00"/>
    <x v="73"/>
    <s v="PM"/>
    <x v="2"/>
  </r>
  <r>
    <d v="2026-06-03T00:00:00"/>
    <x v="59"/>
    <s v="PM"/>
    <x v="2"/>
  </r>
  <r>
    <d v="2026-06-03T00:00:00"/>
    <x v="75"/>
    <s v="PM"/>
    <x v="2"/>
  </r>
  <r>
    <d v="2026-06-03T00:00:00"/>
    <x v="60"/>
    <s v="PM"/>
    <x v="2"/>
  </r>
  <r>
    <d v="2026-06-03T00:00:00"/>
    <x v="61"/>
    <s v="PM"/>
    <x v="2"/>
  </r>
  <r>
    <d v="2026-06-03T00:00:00"/>
    <x v="80"/>
    <s v="PM"/>
    <x v="2"/>
  </r>
  <r>
    <d v="2026-06-03T00:00:00"/>
    <x v="62"/>
    <s v="PM"/>
    <x v="2"/>
  </r>
  <r>
    <d v="2026-06-03T00:00:00"/>
    <x v="82"/>
    <s v="PM"/>
    <x v="2"/>
  </r>
  <r>
    <d v="2026-06-03T00:00:00"/>
    <x v="83"/>
    <s v="PM"/>
    <x v="2"/>
  </r>
  <r>
    <d v="2026-06-03T00:00:00"/>
    <x v="64"/>
    <s v="PM"/>
    <x v="2"/>
  </r>
  <r>
    <d v="2026-06-03T00:00:00"/>
    <x v="65"/>
    <s v="PM"/>
    <x v="2"/>
  </r>
  <r>
    <d v="2026-06-03T00:00:00"/>
    <x v="84"/>
    <s v="PM"/>
    <x v="2"/>
  </r>
  <r>
    <d v="2026-06-03T00:00:00"/>
    <x v="85"/>
    <s v="PM"/>
    <x v="2"/>
  </r>
  <r>
    <d v="2026-06-03T00:00:00"/>
    <x v="66"/>
    <s v="PM"/>
    <x v="2"/>
  </r>
  <r>
    <d v="2026-06-03T00:00:00"/>
    <x v="88"/>
    <s v="PM"/>
    <x v="2"/>
  </r>
  <r>
    <d v="2026-06-03T00:00:00"/>
    <x v="89"/>
    <s v="PM"/>
    <x v="2"/>
  </r>
  <r>
    <d v="2026-06-03T00:00:00"/>
    <x v="69"/>
    <s v="PM"/>
    <x v="2"/>
  </r>
  <r>
    <d v="2026-06-03T00:00:00"/>
    <x v="70"/>
    <s v="PM"/>
    <x v="2"/>
  </r>
  <r>
    <d v="2026-06-03T00:00:00"/>
    <x v="71"/>
    <s v="PM"/>
    <x v="2"/>
  </r>
  <r>
    <d v="2026-06-03T00:00:00"/>
    <x v="68"/>
    <s v="PM"/>
    <x v="2"/>
  </r>
  <r>
    <d v="2026-06-03T00:00:00"/>
    <x v="93"/>
    <s v="PM"/>
    <x v="2"/>
  </r>
  <r>
    <d v="2026-06-03T00:00:00"/>
    <x v="72"/>
    <s v="PM"/>
    <x v="2"/>
  </r>
  <r>
    <d v="2026-06-03T00:00:00"/>
    <x v="94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17"/>
    <s v="AM"/>
    <x v="4"/>
  </r>
  <r>
    <d v="2026-06-03T00:00:00"/>
    <x v="109"/>
    <s v="AM"/>
    <x v="5"/>
  </r>
  <r>
    <d v="2026-06-03T00:00:00"/>
    <x v="115"/>
    <s v="AM"/>
    <x v="6"/>
  </r>
  <r>
    <d v="2026-06-03T00:00:00"/>
    <x v="120"/>
    <s v="AM"/>
    <x v="6"/>
  </r>
  <r>
    <d v="2026-06-03T00:00:00"/>
    <x v="122"/>
    <s v="AM"/>
    <x v="6"/>
  </r>
  <r>
    <d v="2026-06-03T00:00:00"/>
    <x v="125"/>
    <s v="DAY"/>
    <x v="6"/>
  </r>
  <r>
    <d v="2026-06-03T00:00:00"/>
    <x v="126"/>
    <s v="AM"/>
    <x v="6"/>
  </r>
  <r>
    <d v="2026-06-03T00:00:00"/>
    <x v="127"/>
    <s v="AM"/>
    <x v="6"/>
  </r>
  <r>
    <d v="2026-06-03T00:00:00"/>
    <x v="104"/>
    <s v="AM"/>
    <x v="7"/>
  </r>
  <r>
    <d v="2026-06-03T00:00:00"/>
    <x v="110"/>
    <s v="AM"/>
    <x v="7"/>
  </r>
  <r>
    <d v="2026-06-03T00:00:00"/>
    <x v="105"/>
    <s v="AM"/>
    <x v="7"/>
  </r>
  <r>
    <d v="2026-06-03T00:00:00"/>
    <x v="111"/>
    <s v="AM"/>
    <x v="7"/>
  </r>
  <r>
    <d v="2026-06-03T00:00:00"/>
    <x v="103"/>
    <s v="AM"/>
    <x v="7"/>
  </r>
  <r>
    <d v="2026-06-03T00:00:00"/>
    <x v="112"/>
    <s v="DAY"/>
    <x v="7"/>
  </r>
  <r>
    <d v="2026-06-03T00:00:00"/>
    <x v="106"/>
    <s v="AM"/>
    <x v="7"/>
  </r>
  <r>
    <d v="2026-06-03T00:00:00"/>
    <x v="113"/>
    <s v="AM"/>
    <x v="7"/>
  </r>
  <r>
    <d v="2026-06-03T00:00:00"/>
    <x v="114"/>
    <s v="DAY"/>
    <x v="7"/>
  </r>
  <r>
    <d v="2026-06-03T00:00:00"/>
    <x v="116"/>
    <s v="AM"/>
    <x v="7"/>
  </r>
  <r>
    <d v="2026-06-03T00:00:00"/>
    <x v="118"/>
    <s v="AM"/>
    <x v="7"/>
  </r>
  <r>
    <d v="2026-06-03T00:00:00"/>
    <x v="119"/>
    <s v="AM"/>
    <x v="7"/>
  </r>
  <r>
    <d v="2026-06-03T00:00:00"/>
    <x v="121"/>
    <s v="AM"/>
    <x v="7"/>
  </r>
  <r>
    <d v="2026-06-03T00:00:00"/>
    <x v="107"/>
    <s v="AM"/>
    <x v="7"/>
  </r>
  <r>
    <d v="2026-06-03T00:00:00"/>
    <x v="108"/>
    <s v="AM"/>
    <x v="7"/>
  </r>
  <r>
    <d v="2026-06-03T00:00:00"/>
    <x v="102"/>
    <s v="AM"/>
    <x v="7"/>
  </r>
  <r>
    <d v="2026-06-03T00:00:00"/>
    <x v="123"/>
    <s v="AM"/>
    <x v="7"/>
  </r>
  <r>
    <d v="2026-06-03T00:00:00"/>
    <x v="124"/>
    <s v="AM"/>
    <x v="7"/>
  </r>
  <r>
    <d v="2026-06-03T00:00:00"/>
    <x v="128"/>
    <s v="AM"/>
    <x v="7"/>
  </r>
  <r>
    <d v="2026-06-03T00:00:00"/>
    <x v="129"/>
    <s v="AM"/>
    <x v="7"/>
  </r>
  <r>
    <d v="2026-06-03T00:00:00"/>
    <x v="130"/>
    <s v="AM"/>
    <x v="7"/>
  </r>
  <r>
    <d v="2026-06-03T00:00:00"/>
    <x v="141"/>
    <s v="PM"/>
    <x v="4"/>
  </r>
  <r>
    <d v="2026-06-03T00:00:00"/>
    <x v="143"/>
    <s v="PM"/>
    <x v="5"/>
  </r>
  <r>
    <d v="2026-06-03T00:00:00"/>
    <x v="135"/>
    <s v="PM"/>
    <x v="6"/>
  </r>
  <r>
    <d v="2026-06-03T00:00:00"/>
    <x v="132"/>
    <s v="PM"/>
    <x v="6"/>
  </r>
  <r>
    <d v="2026-06-03T00:00:00"/>
    <x v="136"/>
    <s v="PM"/>
    <x v="6"/>
  </r>
  <r>
    <d v="2026-06-03T00:00:00"/>
    <x v="138"/>
    <s v="PM"/>
    <x v="6"/>
  </r>
  <r>
    <d v="2026-06-03T00:00:00"/>
    <x v="147"/>
    <s v="PM"/>
    <x v="6"/>
  </r>
  <r>
    <d v="2026-06-03T00:00:00"/>
    <x v="148"/>
    <s v="PM"/>
    <x v="6"/>
  </r>
  <r>
    <d v="2026-06-03T00:00:00"/>
    <x v="149"/>
    <s v="PM"/>
    <x v="6"/>
  </r>
  <r>
    <d v="2026-06-03T00:00:00"/>
    <x v="154"/>
    <s v="PM"/>
    <x v="6"/>
  </r>
  <r>
    <d v="2026-06-03T00:00:00"/>
    <x v="155"/>
    <s v="PM"/>
    <x v="6"/>
  </r>
  <r>
    <d v="2026-06-03T00:00:00"/>
    <x v="133"/>
    <s v="PM"/>
    <x v="7"/>
  </r>
  <r>
    <d v="2026-06-03T00:00:00"/>
    <x v="134"/>
    <s v="PM"/>
    <x v="7"/>
  </r>
  <r>
    <d v="2026-06-03T00:00:00"/>
    <x v="142"/>
    <s v="PM"/>
    <x v="7"/>
  </r>
  <r>
    <d v="2026-06-03T00:00:00"/>
    <x v="144"/>
    <s v="PM"/>
    <x v="7"/>
  </r>
  <r>
    <d v="2026-06-03T00:00:00"/>
    <x v="145"/>
    <s v="PM"/>
    <x v="7"/>
  </r>
  <r>
    <d v="2026-06-03T00:00:00"/>
    <x v="137"/>
    <s v="PM"/>
    <x v="7"/>
  </r>
  <r>
    <d v="2026-06-03T00:00:00"/>
    <x v="146"/>
    <s v="PM"/>
    <x v="7"/>
  </r>
  <r>
    <d v="2026-06-03T00:00:00"/>
    <x v="139"/>
    <s v="PM"/>
    <x v="7"/>
  </r>
  <r>
    <d v="2026-06-03T00:00:00"/>
    <x v="150"/>
    <s v="PM"/>
    <x v="7"/>
  </r>
  <r>
    <d v="2026-06-03T00:00:00"/>
    <x v="151"/>
    <s v="PM"/>
    <x v="7"/>
  </r>
  <r>
    <d v="2026-06-03T00:00:00"/>
    <x v="152"/>
    <s v="PM"/>
    <x v="7"/>
  </r>
  <r>
    <d v="2026-06-03T00:00:00"/>
    <x v="140"/>
    <s v="PM"/>
    <x v="7"/>
  </r>
  <r>
    <d v="2026-06-03T00:00:00"/>
    <x v="153"/>
    <s v="PM"/>
    <x v="7"/>
  </r>
  <r>
    <d v="2026-06-03T00:00:00"/>
    <x v="156"/>
    <s v="PM"/>
    <x v="7"/>
  </r>
  <r>
    <d v="2026-06-03T00:00:00"/>
    <x v="131"/>
    <s v="PM"/>
    <x v="7"/>
  </r>
  <r>
    <d v="2026-06-03T00:00:00"/>
    <x v="14"/>
    <s v="AM"/>
    <x v="0"/>
  </r>
  <r>
    <d v="2026-06-03T00:00:00"/>
    <x v="15"/>
    <s v="AM"/>
    <x v="0"/>
  </r>
  <r>
    <d v="2026-06-03T00:00:00"/>
    <x v="26"/>
    <s v="AM"/>
    <x v="0"/>
  </r>
  <r>
    <d v="2026-06-03T00:00:00"/>
    <x v="30"/>
    <s v="DAY"/>
    <x v="0"/>
  </r>
  <r>
    <d v="2026-06-03T00:00:00"/>
    <x v="12"/>
    <s v="AM"/>
    <x v="0"/>
  </r>
  <r>
    <d v="2026-06-03T00:00:00"/>
    <x v="4"/>
    <s v="AM"/>
    <x v="0"/>
  </r>
  <r>
    <d v="2026-06-03T00:00:00"/>
    <x v="41"/>
    <s v="AM"/>
    <x v="0"/>
  </r>
  <r>
    <d v="2026-06-03T00:00:00"/>
    <x v="43"/>
    <s v="AM"/>
    <x v="0"/>
  </r>
  <r>
    <d v="2026-06-03T00:00:00"/>
    <x v="44"/>
    <s v="MI-TEMPS"/>
    <x v="0"/>
  </r>
  <r>
    <d v="2026-06-03T00:00:00"/>
    <x v="6"/>
    <s v="AM"/>
    <x v="0"/>
  </r>
  <r>
    <d v="2026-06-03T00:00:00"/>
    <x v="11"/>
    <s v="AM"/>
    <x v="1"/>
  </r>
  <r>
    <d v="2026-06-03T00:00:00"/>
    <x v="37"/>
    <s v="DAY"/>
    <x v="1"/>
  </r>
  <r>
    <d v="2026-06-03T00:00:00"/>
    <x v="47"/>
    <s v="AM"/>
    <x v="1"/>
  </r>
  <r>
    <d v="2026-06-03T00:00:00"/>
    <x v="52"/>
    <s v="AM"/>
    <x v="1"/>
  </r>
  <r>
    <d v="2026-06-03T00:00:00"/>
    <x v="10"/>
    <s v="AM"/>
    <x v="2"/>
  </r>
  <r>
    <d v="2026-06-03T00:00:00"/>
    <x v="0"/>
    <s v="AM"/>
    <x v="2"/>
  </r>
  <r>
    <d v="2026-06-03T00:00:00"/>
    <x v="16"/>
    <s v="DAY"/>
    <x v="2"/>
  </r>
  <r>
    <d v="2026-06-03T00:00:00"/>
    <x v="17"/>
    <s v="AM"/>
    <x v="2"/>
  </r>
  <r>
    <d v="2026-06-03T00:00:00"/>
    <x v="18"/>
    <s v="AM"/>
    <x v="2"/>
  </r>
  <r>
    <d v="2026-06-03T00:00:00"/>
    <x v="19"/>
    <s v="AM"/>
    <x v="2"/>
  </r>
  <r>
    <d v="2026-06-03T00:00:00"/>
    <x v="20"/>
    <s v="AM"/>
    <x v="2"/>
  </r>
  <r>
    <d v="2026-06-03T00:00:00"/>
    <x v="21"/>
    <s v="AM"/>
    <x v="2"/>
  </r>
  <r>
    <d v="2026-06-03T00:00:00"/>
    <x v="22"/>
    <s v="AM"/>
    <x v="2"/>
  </r>
  <r>
    <d v="2026-06-03T00:00:00"/>
    <x v="1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7"/>
    <s v="MI-TEMPS"/>
    <x v="2"/>
  </r>
  <r>
    <d v="2026-06-03T00:00:00"/>
    <x v="28"/>
    <s v="AM"/>
    <x v="2"/>
  </r>
  <r>
    <d v="2026-06-03T00:00:00"/>
    <x v="29"/>
    <s v="AM"/>
    <x v="2"/>
  </r>
  <r>
    <d v="2026-06-03T00:00:00"/>
    <x v="2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"/>
    <s v="AM"/>
    <x v="2"/>
  </r>
  <r>
    <d v="2026-06-03T00:00:00"/>
    <x v="34"/>
    <s v="AM"/>
    <x v="2"/>
  </r>
  <r>
    <d v="2026-06-03T00:00:00"/>
    <x v="35"/>
    <s v="AM"/>
    <x v="2"/>
  </r>
  <r>
    <d v="2026-06-03T00:00:00"/>
    <x v="36"/>
    <s v="AM"/>
    <x v="2"/>
  </r>
  <r>
    <d v="2026-06-03T00:00:00"/>
    <x v="38"/>
    <s v="AM"/>
    <x v="2"/>
  </r>
  <r>
    <d v="2026-06-03T00:00:00"/>
    <x v="39"/>
    <s v="AM"/>
    <x v="2"/>
  </r>
  <r>
    <d v="2026-06-03T00:00:00"/>
    <x v="40"/>
    <s v="AM"/>
    <x v="2"/>
  </r>
  <r>
    <d v="2026-06-03T00:00:00"/>
    <x v="13"/>
    <s v="AM"/>
    <x v="2"/>
  </r>
  <r>
    <d v="2026-06-03T00:00:00"/>
    <x v="42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8"/>
    <s v="MI-TEMPS"/>
    <x v="2"/>
  </r>
  <r>
    <d v="2026-06-03T00:00:00"/>
    <x v="49"/>
    <s v="AM"/>
    <x v="2"/>
  </r>
  <r>
    <d v="2026-06-03T00:00:00"/>
    <x v="50"/>
    <s v="AM"/>
    <x v="2"/>
  </r>
  <r>
    <d v="2026-06-03T00:00:00"/>
    <x v="5"/>
    <s v="AM"/>
    <x v="2"/>
  </r>
  <r>
    <d v="2026-06-03T00:00:00"/>
    <x v="7"/>
    <s v="AM"/>
    <x v="2"/>
  </r>
  <r>
    <d v="2026-06-03T00:00:00"/>
    <x v="8"/>
    <s v="AM"/>
    <x v="2"/>
  </r>
  <r>
    <d v="2026-06-03T00:00:00"/>
    <x v="9"/>
    <s v="AM"/>
    <x v="2"/>
  </r>
  <r>
    <d v="2026-06-03T00:00:00"/>
    <x v="51"/>
    <s v="DAY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5"/>
    <s v="PM"/>
    <x v="0"/>
  </r>
  <r>
    <d v="2026-06-03T00:00:00"/>
    <x v="77"/>
    <s v="PM"/>
    <x v="0"/>
  </r>
  <r>
    <d v="2026-06-03T00:00:00"/>
    <x v="62"/>
    <s v="PM"/>
    <x v="0"/>
  </r>
  <r>
    <d v="2026-06-03T00:00:00"/>
    <x v="83"/>
    <s v="PM"/>
    <x v="0"/>
  </r>
  <r>
    <d v="2026-06-03T00:00:00"/>
    <x v="65"/>
    <s v="PM"/>
    <x v="0"/>
  </r>
  <r>
    <d v="2026-06-03T00:00:00"/>
    <x v="85"/>
    <s v="PM"/>
    <x v="0"/>
  </r>
  <r>
    <d v="2026-06-03T00:00:00"/>
    <x v="66"/>
    <s v="PM"/>
    <x v="0"/>
  </r>
  <r>
    <d v="2026-06-03T00:00:00"/>
    <x v="89"/>
    <s v="PM"/>
    <x v="0"/>
  </r>
  <r>
    <d v="2026-06-03T00:00:00"/>
    <x v="70"/>
    <s v="PM"/>
    <x v="0"/>
  </r>
  <r>
    <d v="2026-06-03T00:00:00"/>
    <x v="72"/>
    <s v="PM"/>
    <x v="0"/>
  </r>
  <r>
    <d v="2026-06-03T00:00:00"/>
    <x v="60"/>
    <s v="PM"/>
    <x v="1"/>
  </r>
  <r>
    <d v="2026-06-03T00:00:00"/>
    <x v="61"/>
    <s v="PM"/>
    <x v="1"/>
  </r>
  <r>
    <d v="2026-06-03T00:00:00"/>
    <x v="84"/>
    <s v="PM"/>
    <x v="1"/>
  </r>
  <r>
    <d v="2026-06-03T00:00:00"/>
    <x v="88"/>
    <s v="PM"/>
    <x v="1"/>
  </r>
  <r>
    <d v="2026-06-03T00:00:00"/>
    <x v="73"/>
    <s v="PM"/>
    <x v="2"/>
  </r>
  <r>
    <d v="2026-06-03T00:00:00"/>
    <x v="74"/>
    <s v="PM"/>
    <x v="2"/>
  </r>
  <r>
    <d v="2026-06-03T00:00:00"/>
    <x v="59"/>
    <s v="PM"/>
    <x v="2"/>
  </r>
  <r>
    <d v="2026-06-03T00:00:00"/>
    <x v="76"/>
    <s v="PM"/>
    <x v="2"/>
  </r>
  <r>
    <d v="2026-06-03T00:00:00"/>
    <x v="78"/>
    <s v="PM"/>
    <x v="2"/>
  </r>
  <r>
    <d v="2026-06-03T00:00:00"/>
    <x v="79"/>
    <s v="PM"/>
    <x v="2"/>
  </r>
  <r>
    <d v="2026-06-03T00:00:00"/>
    <x v="80"/>
    <s v="PM"/>
    <x v="2"/>
  </r>
  <r>
    <d v="2026-06-03T00:00:00"/>
    <x v="81"/>
    <s v="PM"/>
    <x v="2"/>
  </r>
  <r>
    <d v="2026-06-03T00:00:00"/>
    <x v="82"/>
    <s v="PM"/>
    <x v="2"/>
  </r>
  <r>
    <d v="2026-06-03T00:00:00"/>
    <x v="63"/>
    <s v="PM"/>
    <x v="2"/>
  </r>
  <r>
    <d v="2026-06-03T00:00:00"/>
    <x v="64"/>
    <s v="PM"/>
    <x v="2"/>
  </r>
  <r>
    <d v="2026-06-03T00:00:00"/>
    <x v="86"/>
    <s v="PM"/>
    <x v="2"/>
  </r>
  <r>
    <d v="2026-06-03T00:00:00"/>
    <x v="87"/>
    <s v="PM"/>
    <x v="2"/>
  </r>
  <r>
    <d v="2026-06-03T00:00:00"/>
    <x v="90"/>
    <s v="PM"/>
    <x v="2"/>
  </r>
  <r>
    <d v="2026-06-03T00:00:00"/>
    <x v="69"/>
    <s v="PM"/>
    <x v="2"/>
  </r>
  <r>
    <d v="2026-06-03T00:00:00"/>
    <x v="91"/>
    <s v="PM"/>
    <x v="2"/>
  </r>
  <r>
    <d v="2026-06-03T00:00:00"/>
    <x v="67"/>
    <s v="PM"/>
    <x v="2"/>
  </r>
  <r>
    <d v="2026-06-03T00:00:00"/>
    <x v="71"/>
    <s v="PM"/>
    <x v="2"/>
  </r>
  <r>
    <d v="2026-06-03T00:00:00"/>
    <x v="68"/>
    <s v="PM"/>
    <x v="2"/>
  </r>
  <r>
    <d v="2026-06-03T00:00:00"/>
    <x v="92"/>
    <s v="PM"/>
    <x v="2"/>
  </r>
  <r>
    <d v="2026-06-03T00:00:00"/>
    <x v="93"/>
    <s v="PM"/>
    <x v="2"/>
  </r>
  <r>
    <d v="2026-06-03T00:00:00"/>
    <x v="94"/>
    <s v="PM"/>
    <x v="2"/>
  </r>
  <r>
    <d v="2026-06-03T00:00:00"/>
    <x v="95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11"/>
    <s v="AM"/>
    <x v="4"/>
  </r>
  <r>
    <d v="2026-06-03T00:00:00"/>
    <x v="126"/>
    <s v="AM"/>
    <x v="5"/>
  </r>
  <r>
    <d v="2026-06-03T00:00:00"/>
    <x v="110"/>
    <s v="AM"/>
    <x v="6"/>
  </r>
  <r>
    <d v="2026-06-03T00:00:00"/>
    <x v="114"/>
    <s v="DAY"/>
    <x v="6"/>
  </r>
  <r>
    <d v="2026-06-03T00:00:00"/>
    <x v="116"/>
    <s v="AM"/>
    <x v="6"/>
  </r>
  <r>
    <d v="2026-06-03T00:00:00"/>
    <x v="121"/>
    <s v="AM"/>
    <x v="6"/>
  </r>
  <r>
    <d v="2026-06-03T00:00:00"/>
    <x v="102"/>
    <s v="AM"/>
    <x v="6"/>
  </r>
  <r>
    <d v="2026-06-03T00:00:00"/>
    <x v="128"/>
    <s v="AM"/>
    <x v="6"/>
  </r>
  <r>
    <d v="2026-06-03T00:00:00"/>
    <x v="104"/>
    <s v="AM"/>
    <x v="7"/>
  </r>
  <r>
    <d v="2026-06-03T00:00:00"/>
    <x v="105"/>
    <s v="AM"/>
    <x v="7"/>
  </r>
  <r>
    <d v="2026-06-03T00:00:00"/>
    <x v="103"/>
    <s v="AM"/>
    <x v="7"/>
  </r>
  <r>
    <d v="2026-06-03T00:00:00"/>
    <x v="112"/>
    <s v="DAY"/>
    <x v="7"/>
  </r>
  <r>
    <d v="2026-06-03T00:00:00"/>
    <x v="106"/>
    <s v="AM"/>
    <x v="7"/>
  </r>
  <r>
    <d v="2026-06-03T00:00:00"/>
    <x v="113"/>
    <s v="AM"/>
    <x v="7"/>
  </r>
  <r>
    <d v="2026-06-03T00:00:00"/>
    <x v="115"/>
    <s v="AM"/>
    <x v="7"/>
  </r>
  <r>
    <d v="2026-06-03T00:00:00"/>
    <x v="117"/>
    <s v="AM"/>
    <x v="7"/>
  </r>
  <r>
    <d v="2026-06-03T00:00:00"/>
    <x v="118"/>
    <s v="AM"/>
    <x v="7"/>
  </r>
  <r>
    <d v="2026-06-03T00:00:00"/>
    <x v="119"/>
    <s v="AM"/>
    <x v="7"/>
  </r>
  <r>
    <d v="2026-06-03T00:00:00"/>
    <x v="120"/>
    <s v="AM"/>
    <x v="7"/>
  </r>
  <r>
    <d v="2026-06-03T00:00:00"/>
    <x v="107"/>
    <s v="AM"/>
    <x v="7"/>
  </r>
  <r>
    <d v="2026-06-03T00:00:00"/>
    <x v="122"/>
    <s v="AM"/>
    <x v="7"/>
  </r>
  <r>
    <d v="2026-06-03T00:00:00"/>
    <x v="108"/>
    <s v="AM"/>
    <x v="7"/>
  </r>
  <r>
    <d v="2026-06-03T00:00:00"/>
    <x v="109"/>
    <s v="AM"/>
    <x v="7"/>
  </r>
  <r>
    <d v="2026-06-03T00:00:00"/>
    <x v="123"/>
    <s v="AM"/>
    <x v="7"/>
  </r>
  <r>
    <d v="2026-06-03T00:00:00"/>
    <x v="124"/>
    <s v="AM"/>
    <x v="7"/>
  </r>
  <r>
    <d v="2026-06-03T00:00:00"/>
    <x v="125"/>
    <s v="DAY"/>
    <x v="7"/>
  </r>
  <r>
    <d v="2026-06-03T00:00:00"/>
    <x v="127"/>
    <s v="AM"/>
    <x v="7"/>
  </r>
  <r>
    <d v="2026-06-03T00:00:00"/>
    <x v="129"/>
    <s v="AM"/>
    <x v="7"/>
  </r>
  <r>
    <d v="2026-06-03T00:00:00"/>
    <x v="130"/>
    <s v="AM"/>
    <x v="7"/>
  </r>
  <r>
    <d v="2026-06-03T00:00:00"/>
    <x v="147"/>
    <s v="PM"/>
    <x v="4"/>
  </r>
  <r>
    <d v="2026-06-03T00:00:00"/>
    <x v="149"/>
    <s v="PM"/>
    <x v="5"/>
  </r>
  <r>
    <d v="2026-06-03T00:00:00"/>
    <x v="133"/>
    <s v="PM"/>
    <x v="6"/>
  </r>
  <r>
    <d v="2026-06-03T00:00:00"/>
    <x v="134"/>
    <s v="PM"/>
    <x v="6"/>
  </r>
  <r>
    <d v="2026-06-03T00:00:00"/>
    <x v="142"/>
    <s v="PM"/>
    <x v="6"/>
  </r>
  <r>
    <d v="2026-06-03T00:00:00"/>
    <x v="143"/>
    <s v="PM"/>
    <x v="6"/>
  </r>
  <r>
    <d v="2026-06-03T00:00:00"/>
    <x v="144"/>
    <s v="PM"/>
    <x v="6"/>
  </r>
  <r>
    <d v="2026-06-03T00:00:00"/>
    <x v="137"/>
    <s v="PM"/>
    <x v="6"/>
  </r>
  <r>
    <d v="2026-06-03T00:00:00"/>
    <x v="150"/>
    <s v="PM"/>
    <x v="6"/>
  </r>
  <r>
    <d v="2026-06-03T00:00:00"/>
    <x v="152"/>
    <s v="PM"/>
    <x v="6"/>
  </r>
  <r>
    <d v="2026-06-03T00:00:00"/>
    <x v="156"/>
    <s v="PM"/>
    <x v="6"/>
  </r>
  <r>
    <d v="2026-06-03T00:00:00"/>
    <x v="135"/>
    <s v="PM"/>
    <x v="7"/>
  </r>
  <r>
    <d v="2026-06-03T00:00:00"/>
    <x v="132"/>
    <s v="PM"/>
    <x v="7"/>
  </r>
  <r>
    <d v="2026-06-03T00:00:00"/>
    <x v="136"/>
    <s v="PM"/>
    <x v="7"/>
  </r>
  <r>
    <d v="2026-06-03T00:00:00"/>
    <x v="145"/>
    <s v="PM"/>
    <x v="7"/>
  </r>
  <r>
    <d v="2026-06-03T00:00:00"/>
    <x v="146"/>
    <s v="PM"/>
    <x v="7"/>
  </r>
  <r>
    <d v="2026-06-03T00:00:00"/>
    <x v="138"/>
    <s v="PM"/>
    <x v="7"/>
  </r>
  <r>
    <d v="2026-06-03T00:00:00"/>
    <x v="148"/>
    <s v="PM"/>
    <x v="7"/>
  </r>
  <r>
    <d v="2026-06-03T00:00:00"/>
    <x v="139"/>
    <s v="PM"/>
    <x v="7"/>
  </r>
  <r>
    <d v="2026-06-03T00:00:00"/>
    <x v="151"/>
    <s v="PM"/>
    <x v="7"/>
  </r>
  <r>
    <d v="2026-06-03T00:00:00"/>
    <x v="140"/>
    <s v="PM"/>
    <x v="7"/>
  </r>
  <r>
    <d v="2026-06-03T00:00:00"/>
    <x v="153"/>
    <s v="PM"/>
    <x v="7"/>
  </r>
  <r>
    <d v="2026-06-03T00:00:00"/>
    <x v="154"/>
    <s v="PM"/>
    <x v="7"/>
  </r>
  <r>
    <d v="2026-06-03T00:00:00"/>
    <x v="141"/>
    <s v="PM"/>
    <x v="7"/>
  </r>
  <r>
    <d v="2026-06-03T00:00:00"/>
    <x v="155"/>
    <s v="PM"/>
    <x v="7"/>
  </r>
  <r>
    <d v="2026-06-03T00:00:00"/>
    <x v="131"/>
    <s v="PM"/>
    <x v="7"/>
  </r>
  <r>
    <d v="2026-06-03T00:00:00"/>
    <x v="1"/>
    <s v="AM"/>
    <x v="0"/>
  </r>
  <r>
    <d v="2026-06-03T00:00:00"/>
    <x v="28"/>
    <s v="AM"/>
    <x v="0"/>
  </r>
  <r>
    <d v="2026-06-03T00:00:00"/>
    <x v="2"/>
    <s v="AM"/>
    <x v="0"/>
  </r>
  <r>
    <d v="2026-06-03T00:00:00"/>
    <x v="32"/>
    <s v="MI-TEMPS"/>
    <x v="0"/>
  </r>
  <r>
    <d v="2026-06-03T00:00:00"/>
    <x v="3"/>
    <s v="AM"/>
    <x v="0"/>
  </r>
  <r>
    <d v="2026-06-03T00:00:00"/>
    <x v="41"/>
    <s v="AM"/>
    <x v="0"/>
  </r>
  <r>
    <d v="2026-06-03T00:00:00"/>
    <x v="47"/>
    <s v="AM"/>
    <x v="0"/>
  </r>
  <r>
    <d v="2026-06-03T00:00:00"/>
    <x v="5"/>
    <s v="AM"/>
    <x v="0"/>
  </r>
  <r>
    <d v="2026-06-03T00:00:00"/>
    <x v="8"/>
    <s v="AM"/>
    <x v="0"/>
  </r>
  <r>
    <d v="2026-06-03T00:00:00"/>
    <x v="51"/>
    <s v="DAY"/>
    <x v="0"/>
  </r>
  <r>
    <d v="2026-06-03T00:00:00"/>
    <x v="34"/>
    <s v="AM"/>
    <x v="1"/>
  </r>
  <r>
    <d v="2026-06-03T00:00:00"/>
    <x v="38"/>
    <s v="AM"/>
    <x v="1"/>
  </r>
  <r>
    <d v="2026-06-03T00:00:00"/>
    <x v="44"/>
    <s v="MI-TEMPS"/>
    <x v="1"/>
  </r>
  <r>
    <d v="2026-06-03T00:00:00"/>
    <x v="50"/>
    <s v="AM"/>
    <x v="1"/>
  </r>
  <r>
    <d v="2026-06-03T00:00:00"/>
    <x v="10"/>
    <s v="AM"/>
    <x v="2"/>
  </r>
  <r>
    <d v="2026-06-03T00:00:00"/>
    <x v="14"/>
    <s v="AM"/>
    <x v="2"/>
  </r>
  <r>
    <d v="2026-06-03T00:00:00"/>
    <x v="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18"/>
    <s v="AM"/>
    <x v="2"/>
  </r>
  <r>
    <d v="2026-06-03T00:00:00"/>
    <x v="19"/>
    <s v="AM"/>
    <x v="2"/>
  </r>
  <r>
    <d v="2026-06-03T00:00:00"/>
    <x v="20"/>
    <s v="AM"/>
    <x v="2"/>
  </r>
  <r>
    <d v="2026-06-03T00:00:00"/>
    <x v="21"/>
    <s v="AM"/>
    <x v="2"/>
  </r>
  <r>
    <d v="2026-06-03T00:00:00"/>
    <x v="22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27"/>
    <s v="MI-TEMPS"/>
    <x v="2"/>
  </r>
  <r>
    <d v="2026-06-03T00:00:00"/>
    <x v="29"/>
    <s v="AM"/>
    <x v="2"/>
  </r>
  <r>
    <d v="2026-06-03T00:00:00"/>
    <x v="30"/>
    <s v="DAY"/>
    <x v="2"/>
  </r>
  <r>
    <d v="2026-06-03T00:00:00"/>
    <x v="31"/>
    <s v="AM"/>
    <x v="2"/>
  </r>
  <r>
    <d v="2026-06-03T00:00:00"/>
    <x v="33"/>
    <s v="AM"/>
    <x v="2"/>
  </r>
  <r>
    <d v="2026-06-03T00:00:00"/>
    <x v="12"/>
    <s v="AM"/>
    <x v="2"/>
  </r>
  <r>
    <d v="2026-06-03T00:00:00"/>
    <x v="35"/>
    <s v="AM"/>
    <x v="2"/>
  </r>
  <r>
    <d v="2026-06-03T00:00:00"/>
    <x v="36"/>
    <s v="AM"/>
    <x v="2"/>
  </r>
  <r>
    <d v="2026-06-03T00:00:00"/>
    <x v="37"/>
    <s v="DAY"/>
    <x v="2"/>
  </r>
  <r>
    <d v="2026-06-03T00:00:00"/>
    <x v="39"/>
    <s v="AM"/>
    <x v="2"/>
  </r>
  <r>
    <d v="2026-06-03T00:00:00"/>
    <x v="40"/>
    <s v="AM"/>
    <x v="2"/>
  </r>
  <r>
    <d v="2026-06-03T00:00:00"/>
    <x v="13"/>
    <s v="AM"/>
    <x v="2"/>
  </r>
  <r>
    <d v="2026-06-03T00:00:00"/>
    <x v="4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5"/>
    <s v="DAY"/>
    <x v="2"/>
  </r>
  <r>
    <d v="2026-06-03T00:00:00"/>
    <x v="46"/>
    <s v="MI-TEMPS"/>
    <x v="2"/>
  </r>
  <r>
    <d v="2026-06-03T00:00:00"/>
    <x v="48"/>
    <s v="MI-TEMPS"/>
    <x v="2"/>
  </r>
  <r>
    <d v="2026-06-03T00:00:00"/>
    <x v="49"/>
    <s v="AM"/>
    <x v="2"/>
  </r>
  <r>
    <d v="2026-06-03T00:00:00"/>
    <x v="6"/>
    <s v="AM"/>
    <x v="2"/>
  </r>
  <r>
    <d v="2026-06-03T00:00:00"/>
    <x v="7"/>
    <s v="AM"/>
    <x v="2"/>
  </r>
  <r>
    <d v="2026-06-03T00:00:00"/>
    <x v="9"/>
    <s v="AM"/>
    <x v="2"/>
  </r>
  <r>
    <d v="2026-06-03T00:00:00"/>
    <x v="52"/>
    <s v="AM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3"/>
    <s v="PM"/>
    <x v="0"/>
  </r>
  <r>
    <d v="2026-06-03T00:00:00"/>
    <x v="59"/>
    <s v="PM"/>
    <x v="0"/>
  </r>
  <r>
    <d v="2026-06-03T00:00:00"/>
    <x v="61"/>
    <s v="PM"/>
    <x v="0"/>
  </r>
  <r>
    <d v="2026-06-03T00:00:00"/>
    <x v="80"/>
    <s v="PM"/>
    <x v="0"/>
  </r>
  <r>
    <d v="2026-06-03T00:00:00"/>
    <x v="82"/>
    <s v="PM"/>
    <x v="0"/>
  </r>
  <r>
    <d v="2026-06-03T00:00:00"/>
    <x v="63"/>
    <s v="PM"/>
    <x v="0"/>
  </r>
  <r>
    <d v="2026-06-03T00:00:00"/>
    <x v="64"/>
    <s v="PM"/>
    <x v="0"/>
  </r>
  <r>
    <d v="2026-06-03T00:00:00"/>
    <x v="71"/>
    <s v="PM"/>
    <x v="0"/>
  </r>
  <r>
    <d v="2026-06-03T00:00:00"/>
    <x v="92"/>
    <s v="PM"/>
    <x v="0"/>
  </r>
  <r>
    <d v="2026-06-03T00:00:00"/>
    <x v="96"/>
    <s v="PM"/>
    <x v="0"/>
  </r>
  <r>
    <d v="2026-06-03T00:00:00"/>
    <x v="75"/>
    <s v="PM"/>
    <x v="2"/>
  </r>
  <r>
    <d v="2026-06-03T00:00:00"/>
    <x v="60"/>
    <s v="PM"/>
    <x v="2"/>
  </r>
  <r>
    <d v="2026-06-03T00:00:00"/>
    <x v="76"/>
    <s v="PM"/>
    <x v="2"/>
  </r>
  <r>
    <d v="2026-06-03T00:00:00"/>
    <x v="77"/>
    <s v="PM"/>
    <x v="2"/>
  </r>
  <r>
    <d v="2026-06-03T00:00:00"/>
    <x v="79"/>
    <s v="PM"/>
    <x v="2"/>
  </r>
  <r>
    <d v="2026-06-03T00:00:00"/>
    <x v="81"/>
    <s v="PM"/>
    <x v="2"/>
  </r>
  <r>
    <d v="2026-06-03T00:00:00"/>
    <x v="62"/>
    <s v="PM"/>
    <x v="2"/>
  </r>
  <r>
    <d v="2026-06-03T00:00:00"/>
    <x v="83"/>
    <s v="PM"/>
    <x v="2"/>
  </r>
  <r>
    <d v="2026-06-03T00:00:00"/>
    <x v="65"/>
    <s v="PM"/>
    <x v="2"/>
  </r>
  <r>
    <d v="2026-06-03T00:00:00"/>
    <x v="84"/>
    <s v="PM"/>
    <x v="2"/>
  </r>
  <r>
    <d v="2026-06-03T00:00:00"/>
    <x v="86"/>
    <s v="PM"/>
    <x v="2"/>
  </r>
  <r>
    <d v="2026-06-03T00:00:00"/>
    <x v="66"/>
    <s v="PM"/>
    <x v="2"/>
  </r>
  <r>
    <d v="2026-06-03T00:00:00"/>
    <x v="87"/>
    <s v="PM"/>
    <x v="2"/>
  </r>
  <r>
    <d v="2026-06-03T00:00:00"/>
    <x v="88"/>
    <s v="PM"/>
    <x v="2"/>
  </r>
  <r>
    <d v="2026-06-03T00:00:00"/>
    <x v="89"/>
    <s v="PM"/>
    <x v="2"/>
  </r>
  <r>
    <d v="2026-06-03T00:00:00"/>
    <x v="90"/>
    <s v="PM"/>
    <x v="2"/>
  </r>
  <r>
    <d v="2026-06-03T00:00:00"/>
    <x v="69"/>
    <s v="PM"/>
    <x v="2"/>
  </r>
  <r>
    <d v="2026-06-03T00:00:00"/>
    <x v="91"/>
    <s v="PM"/>
    <x v="2"/>
  </r>
  <r>
    <d v="2026-06-03T00:00:00"/>
    <x v="70"/>
    <s v="PM"/>
    <x v="2"/>
  </r>
  <r>
    <d v="2026-06-03T00:00:00"/>
    <x v="68"/>
    <s v="PM"/>
    <x v="2"/>
  </r>
  <r>
    <d v="2026-06-03T00:00:00"/>
    <x v="93"/>
    <s v="PM"/>
    <x v="2"/>
  </r>
  <r>
    <d v="2026-06-03T00:00:00"/>
    <x v="72"/>
    <s v="PM"/>
    <x v="2"/>
  </r>
  <r>
    <d v="2026-06-03T00:00:00"/>
    <x v="94"/>
    <s v="PM"/>
    <x v="2"/>
  </r>
  <r>
    <d v="2026-06-03T00:00:00"/>
    <x v="95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74"/>
    <s v="PM"/>
    <x v="8"/>
  </r>
  <r>
    <d v="2026-06-03T00:00:00"/>
    <x v="78"/>
    <s v="PM"/>
    <x v="8"/>
  </r>
  <r>
    <d v="2026-06-03T00:00:00"/>
    <x v="85"/>
    <s v="PM"/>
    <x v="8"/>
  </r>
  <r>
    <d v="2026-06-03T00:00:00"/>
    <x v="67"/>
    <s v="PM"/>
    <x v="8"/>
  </r>
  <r>
    <d v="2026-06-03T00:00:00"/>
    <x v="107"/>
    <s v="AM"/>
    <x v="4"/>
  </r>
  <r>
    <d v="2026-06-03T00:00:00"/>
    <x v="130"/>
    <s v="AM"/>
    <x v="5"/>
  </r>
  <r>
    <d v="2026-06-03T00:00:00"/>
    <x v="111"/>
    <s v="AM"/>
    <x v="6"/>
  </r>
  <r>
    <d v="2026-06-03T00:00:00"/>
    <x v="113"/>
    <s v="AM"/>
    <x v="6"/>
  </r>
  <r>
    <d v="2026-06-03T00:00:00"/>
    <x v="115"/>
    <s v="AM"/>
    <x v="6"/>
  </r>
  <r>
    <d v="2026-06-03T00:00:00"/>
    <x v="108"/>
    <s v="AM"/>
    <x v="6"/>
  </r>
  <r>
    <d v="2026-06-03T00:00:00"/>
    <x v="123"/>
    <s v="AM"/>
    <x v="6"/>
  </r>
  <r>
    <d v="2026-06-03T00:00:00"/>
    <x v="126"/>
    <s v="AM"/>
    <x v="6"/>
  </r>
  <r>
    <d v="2026-06-03T00:00:00"/>
    <x v="104"/>
    <s v="AM"/>
    <x v="7"/>
  </r>
  <r>
    <d v="2026-06-03T00:00:00"/>
    <x v="110"/>
    <s v="AM"/>
    <x v="7"/>
  </r>
  <r>
    <d v="2026-06-03T00:00:00"/>
    <x v="105"/>
    <s v="AM"/>
    <x v="7"/>
  </r>
  <r>
    <d v="2026-06-03T00:00:00"/>
    <x v="103"/>
    <s v="AM"/>
    <x v="7"/>
  </r>
  <r>
    <d v="2026-06-03T00:00:00"/>
    <x v="112"/>
    <s v="DAY"/>
    <x v="7"/>
  </r>
  <r>
    <d v="2026-06-03T00:00:00"/>
    <x v="106"/>
    <s v="AM"/>
    <x v="7"/>
  </r>
  <r>
    <d v="2026-06-03T00:00:00"/>
    <x v="114"/>
    <s v="DAY"/>
    <x v="7"/>
  </r>
  <r>
    <d v="2026-06-03T00:00:00"/>
    <x v="116"/>
    <s v="AM"/>
    <x v="7"/>
  </r>
  <r>
    <d v="2026-06-03T00:00:00"/>
    <x v="117"/>
    <s v="AM"/>
    <x v="7"/>
  </r>
  <r>
    <d v="2026-06-03T00:00:00"/>
    <x v="118"/>
    <s v="AM"/>
    <x v="7"/>
  </r>
  <r>
    <d v="2026-06-03T00:00:00"/>
    <x v="119"/>
    <s v="AM"/>
    <x v="7"/>
  </r>
  <r>
    <d v="2026-06-03T00:00:00"/>
    <x v="120"/>
    <s v="AM"/>
    <x v="7"/>
  </r>
  <r>
    <d v="2026-06-03T00:00:00"/>
    <x v="121"/>
    <s v="AM"/>
    <x v="7"/>
  </r>
  <r>
    <d v="2026-06-03T00:00:00"/>
    <x v="122"/>
    <s v="AM"/>
    <x v="7"/>
  </r>
  <r>
    <d v="2026-06-03T00:00:00"/>
    <x v="102"/>
    <s v="AM"/>
    <x v="7"/>
  </r>
  <r>
    <d v="2026-06-03T00:00:00"/>
    <x v="109"/>
    <s v="AM"/>
    <x v="7"/>
  </r>
  <r>
    <d v="2026-06-03T00:00:00"/>
    <x v="124"/>
    <s v="AM"/>
    <x v="7"/>
  </r>
  <r>
    <d v="2026-06-03T00:00:00"/>
    <x v="125"/>
    <s v="DAY"/>
    <x v="7"/>
  </r>
  <r>
    <d v="2026-06-03T00:00:00"/>
    <x v="127"/>
    <s v="AM"/>
    <x v="7"/>
  </r>
  <r>
    <d v="2026-06-03T00:00:00"/>
    <x v="128"/>
    <s v="AM"/>
    <x v="7"/>
  </r>
  <r>
    <d v="2026-06-03T00:00:00"/>
    <x v="129"/>
    <s v="AM"/>
    <x v="7"/>
  </r>
  <r>
    <d v="2026-06-03T00:00:00"/>
    <x v="154"/>
    <s v="PM"/>
    <x v="4"/>
  </r>
  <r>
    <d v="2026-06-03T00:00:00"/>
    <x v="148"/>
    <s v="PM"/>
    <x v="5"/>
  </r>
  <r>
    <d v="2026-06-03T00:00:00"/>
    <x v="133"/>
    <s v="PM"/>
    <x v="6"/>
  </r>
  <r>
    <d v="2026-06-03T00:00:00"/>
    <x v="135"/>
    <s v="PM"/>
    <x v="6"/>
  </r>
  <r>
    <d v="2026-06-03T00:00:00"/>
    <x v="143"/>
    <s v="PM"/>
    <x v="6"/>
  </r>
  <r>
    <d v="2026-06-03T00:00:00"/>
    <x v="145"/>
    <s v="PM"/>
    <x v="6"/>
  </r>
  <r>
    <d v="2026-06-03T00:00:00"/>
    <x v="146"/>
    <s v="PM"/>
    <x v="6"/>
  </r>
  <r>
    <d v="2026-06-03T00:00:00"/>
    <x v="150"/>
    <s v="PM"/>
    <x v="6"/>
  </r>
  <r>
    <d v="2026-06-03T00:00:00"/>
    <x v="153"/>
    <s v="PM"/>
    <x v="6"/>
  </r>
  <r>
    <d v="2026-06-03T00:00:00"/>
    <x v="141"/>
    <s v="PM"/>
    <x v="6"/>
  </r>
  <r>
    <d v="2026-06-03T00:00:00"/>
    <x v="131"/>
    <s v="PM"/>
    <x v="6"/>
  </r>
  <r>
    <d v="2026-06-03T00:00:00"/>
    <x v="134"/>
    <s v="PM"/>
    <x v="7"/>
  </r>
  <r>
    <d v="2026-06-03T00:00:00"/>
    <x v="142"/>
    <s v="PM"/>
    <x v="7"/>
  </r>
  <r>
    <d v="2026-06-03T00:00:00"/>
    <x v="132"/>
    <s v="PM"/>
    <x v="7"/>
  </r>
  <r>
    <d v="2026-06-03T00:00:00"/>
    <x v="136"/>
    <s v="PM"/>
    <x v="7"/>
  </r>
  <r>
    <d v="2026-06-03T00:00:00"/>
    <x v="144"/>
    <s v="PM"/>
    <x v="7"/>
  </r>
  <r>
    <d v="2026-06-03T00:00:00"/>
    <x v="137"/>
    <s v="PM"/>
    <x v="7"/>
  </r>
  <r>
    <d v="2026-06-03T00:00:00"/>
    <x v="138"/>
    <s v="PM"/>
    <x v="7"/>
  </r>
  <r>
    <d v="2026-06-03T00:00:00"/>
    <x v="147"/>
    <s v="PM"/>
    <x v="7"/>
  </r>
  <r>
    <d v="2026-06-03T00:00:00"/>
    <x v="139"/>
    <s v="PM"/>
    <x v="7"/>
  </r>
  <r>
    <d v="2026-06-03T00:00:00"/>
    <x v="149"/>
    <s v="PM"/>
    <x v="7"/>
  </r>
  <r>
    <d v="2026-06-03T00:00:00"/>
    <x v="151"/>
    <s v="PM"/>
    <x v="7"/>
  </r>
  <r>
    <d v="2026-06-03T00:00:00"/>
    <x v="152"/>
    <s v="PM"/>
    <x v="7"/>
  </r>
  <r>
    <d v="2026-06-03T00:00:00"/>
    <x v="140"/>
    <s v="PM"/>
    <x v="7"/>
  </r>
  <r>
    <d v="2026-06-03T00:00:00"/>
    <x v="155"/>
    <s v="PM"/>
    <x v="7"/>
  </r>
  <r>
    <d v="2026-06-03T00:00:00"/>
    <x v="156"/>
    <s v="PM"/>
    <x v="7"/>
  </r>
  <r>
    <d v="2026-06-03T00:00:00"/>
    <x v="15"/>
    <s v="AM"/>
    <x v="0"/>
  </r>
  <r>
    <d v="2026-06-03T00:00:00"/>
    <x v="1"/>
    <s v="AM"/>
    <x v="0"/>
  </r>
  <r>
    <d v="2026-06-03T00:00:00"/>
    <x v="25"/>
    <s v="MI-TEMPS"/>
    <x v="0"/>
  </r>
  <r>
    <d v="2026-06-03T00:00:00"/>
    <x v="33"/>
    <s v="AM"/>
    <x v="0"/>
  </r>
  <r>
    <d v="2026-06-03T00:00:00"/>
    <x v="34"/>
    <s v="AM"/>
    <x v="0"/>
  </r>
  <r>
    <d v="2026-06-03T00:00:00"/>
    <x v="36"/>
    <s v="AM"/>
    <x v="0"/>
  </r>
  <r>
    <d v="2026-06-03T00:00:00"/>
    <x v="39"/>
    <s v="AM"/>
    <x v="0"/>
  </r>
  <r>
    <d v="2026-06-03T00:00:00"/>
    <x v="43"/>
    <s v="AM"/>
    <x v="0"/>
  </r>
  <r>
    <d v="2026-06-03T00:00:00"/>
    <x v="45"/>
    <s v="DAY"/>
    <x v="0"/>
  </r>
  <r>
    <d v="2026-06-03T00:00:00"/>
    <x v="52"/>
    <s v="AM"/>
    <x v="0"/>
  </r>
  <r>
    <d v="2026-06-03T00:00:00"/>
    <x v="12"/>
    <s v="AM"/>
    <x v="1"/>
  </r>
  <r>
    <d v="2026-06-03T00:00:00"/>
    <x v="48"/>
    <s v="MI-TEMPS"/>
    <x v="1"/>
  </r>
  <r>
    <d v="2026-06-03T00:00:00"/>
    <x v="5"/>
    <s v="AM"/>
    <x v="1"/>
  </r>
  <r>
    <d v="2026-06-03T00:00:00"/>
    <x v="7"/>
    <s v="AM"/>
    <x v="1"/>
  </r>
  <r>
    <d v="2026-06-03T00:00:00"/>
    <x v="10"/>
    <s v="AM"/>
    <x v="2"/>
  </r>
  <r>
    <d v="2026-06-03T00:00:00"/>
    <x v="14"/>
    <s v="AM"/>
    <x v="2"/>
  </r>
  <r>
    <d v="2026-06-03T00:00:00"/>
    <x v="0"/>
    <s v="AM"/>
    <x v="2"/>
  </r>
  <r>
    <d v="2026-06-03T00:00:00"/>
    <x v="16"/>
    <s v="DAY"/>
    <x v="2"/>
  </r>
  <r>
    <d v="2026-06-03T00:00:00"/>
    <x v="17"/>
    <s v="AM"/>
    <x v="2"/>
  </r>
  <r>
    <d v="2026-06-03T00:00:00"/>
    <x v="18"/>
    <s v="AM"/>
    <x v="2"/>
  </r>
  <r>
    <d v="2026-06-03T00:00:00"/>
    <x v="19"/>
    <s v="AM"/>
    <x v="2"/>
  </r>
  <r>
    <d v="2026-06-03T00:00:00"/>
    <x v="20"/>
    <s v="AM"/>
    <x v="2"/>
  </r>
  <r>
    <d v="2026-06-03T00:00:00"/>
    <x v="21"/>
    <s v="AM"/>
    <x v="2"/>
  </r>
  <r>
    <d v="2026-06-03T00:00:00"/>
    <x v="22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27"/>
    <s v="MI-TEMPS"/>
    <x v="2"/>
  </r>
  <r>
    <d v="2026-06-03T00:00:00"/>
    <x v="28"/>
    <s v="AM"/>
    <x v="2"/>
  </r>
  <r>
    <d v="2026-06-03T00:00:00"/>
    <x v="29"/>
    <s v="AM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3"/>
    <s v="AM"/>
    <x v="2"/>
  </r>
  <r>
    <d v="2026-06-03T00:00:00"/>
    <x v="35"/>
    <s v="AM"/>
    <x v="2"/>
  </r>
  <r>
    <d v="2026-06-03T00:00:00"/>
    <x v="37"/>
    <s v="DAY"/>
    <x v="2"/>
  </r>
  <r>
    <d v="2026-06-03T00:00:00"/>
    <x v="38"/>
    <s v="AM"/>
    <x v="2"/>
  </r>
  <r>
    <d v="2026-06-03T00:00:00"/>
    <x v="40"/>
    <s v="AM"/>
    <x v="2"/>
  </r>
  <r>
    <d v="2026-06-03T00:00:00"/>
    <x v="13"/>
    <s v="AM"/>
    <x v="2"/>
  </r>
  <r>
    <d v="2026-06-03T00:00:00"/>
    <x v="4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4"/>
    <s v="MI-TEMPS"/>
    <x v="2"/>
  </r>
  <r>
    <d v="2026-06-03T00:00:00"/>
    <x v="46"/>
    <s v="MI-TEMPS"/>
    <x v="2"/>
  </r>
  <r>
    <d v="2026-06-03T00:00:00"/>
    <x v="47"/>
    <s v="AM"/>
    <x v="2"/>
  </r>
  <r>
    <d v="2026-06-03T00:00:00"/>
    <x v="49"/>
    <s v="AM"/>
    <x v="2"/>
  </r>
  <r>
    <d v="2026-06-03T00:00:00"/>
    <x v="50"/>
    <s v="AM"/>
    <x v="2"/>
  </r>
  <r>
    <d v="2026-06-03T00:00:00"/>
    <x v="6"/>
    <s v="AM"/>
    <x v="2"/>
  </r>
  <r>
    <d v="2026-06-03T00:00:00"/>
    <x v="8"/>
    <s v="AM"/>
    <x v="2"/>
  </r>
  <r>
    <d v="2026-06-03T00:00:00"/>
    <x v="9"/>
    <s v="AM"/>
    <x v="2"/>
  </r>
  <r>
    <d v="2026-06-03T00:00:00"/>
    <x v="51"/>
    <s v="DAY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4"/>
    <s v="PM"/>
    <x v="0"/>
  </r>
  <r>
    <d v="2026-06-03T00:00:00"/>
    <x v="59"/>
    <s v="PM"/>
    <x v="0"/>
  </r>
  <r>
    <d v="2026-06-03T00:00:00"/>
    <x v="80"/>
    <s v="PM"/>
    <x v="0"/>
  </r>
  <r>
    <d v="2026-06-03T00:00:00"/>
    <x v="86"/>
    <s v="PM"/>
    <x v="0"/>
  </r>
  <r>
    <d v="2026-06-03T00:00:00"/>
    <x v="66"/>
    <s v="PM"/>
    <x v="0"/>
  </r>
  <r>
    <d v="2026-06-03T00:00:00"/>
    <x v="87"/>
    <s v="PM"/>
    <x v="0"/>
  </r>
  <r>
    <d v="2026-06-03T00:00:00"/>
    <x v="88"/>
    <s v="PM"/>
    <x v="0"/>
  </r>
  <r>
    <d v="2026-06-03T00:00:00"/>
    <x v="69"/>
    <s v="PM"/>
    <x v="0"/>
  </r>
  <r>
    <d v="2026-06-03T00:00:00"/>
    <x v="71"/>
    <s v="PM"/>
    <x v="0"/>
  </r>
  <r>
    <d v="2026-06-03T00:00:00"/>
    <x v="95"/>
    <s v="PM"/>
    <x v="0"/>
  </r>
  <r>
    <d v="2026-06-03T00:00:00"/>
    <x v="65"/>
    <s v="PM"/>
    <x v="1"/>
  </r>
  <r>
    <d v="2026-06-03T00:00:00"/>
    <x v="91"/>
    <s v="PM"/>
    <x v="1"/>
  </r>
  <r>
    <d v="2026-06-03T00:00:00"/>
    <x v="93"/>
    <s v="PM"/>
    <x v="1"/>
  </r>
  <r>
    <d v="2026-06-03T00:00:00"/>
    <x v="94"/>
    <s v="PM"/>
    <x v="1"/>
  </r>
  <r>
    <d v="2026-06-03T00:00:00"/>
    <x v="73"/>
    <s v="PM"/>
    <x v="2"/>
  </r>
  <r>
    <d v="2026-06-03T00:00:00"/>
    <x v="75"/>
    <s v="PM"/>
    <x v="2"/>
  </r>
  <r>
    <d v="2026-06-03T00:00:00"/>
    <x v="60"/>
    <s v="PM"/>
    <x v="2"/>
  </r>
  <r>
    <d v="2026-06-03T00:00:00"/>
    <x v="76"/>
    <s v="PM"/>
    <x v="2"/>
  </r>
  <r>
    <d v="2026-06-03T00:00:00"/>
    <x v="77"/>
    <s v="PM"/>
    <x v="2"/>
  </r>
  <r>
    <d v="2026-06-03T00:00:00"/>
    <x v="78"/>
    <s v="PM"/>
    <x v="2"/>
  </r>
  <r>
    <d v="2026-06-03T00:00:00"/>
    <x v="79"/>
    <s v="PM"/>
    <x v="2"/>
  </r>
  <r>
    <d v="2026-06-03T00:00:00"/>
    <x v="61"/>
    <s v="PM"/>
    <x v="2"/>
  </r>
  <r>
    <d v="2026-06-03T00:00:00"/>
    <x v="81"/>
    <s v="PM"/>
    <x v="2"/>
  </r>
  <r>
    <d v="2026-06-03T00:00:00"/>
    <x v="62"/>
    <s v="PM"/>
    <x v="2"/>
  </r>
  <r>
    <d v="2026-06-03T00:00:00"/>
    <x v="82"/>
    <s v="PM"/>
    <x v="2"/>
  </r>
  <r>
    <d v="2026-06-03T00:00:00"/>
    <x v="83"/>
    <s v="PM"/>
    <x v="2"/>
  </r>
  <r>
    <d v="2026-06-03T00:00:00"/>
    <x v="63"/>
    <s v="PM"/>
    <x v="2"/>
  </r>
  <r>
    <d v="2026-06-03T00:00:00"/>
    <x v="64"/>
    <s v="PM"/>
    <x v="2"/>
  </r>
  <r>
    <d v="2026-06-03T00:00:00"/>
    <x v="84"/>
    <s v="PM"/>
    <x v="2"/>
  </r>
  <r>
    <d v="2026-06-03T00:00:00"/>
    <x v="85"/>
    <s v="PM"/>
    <x v="2"/>
  </r>
  <r>
    <d v="2026-06-03T00:00:00"/>
    <x v="89"/>
    <s v="PM"/>
    <x v="2"/>
  </r>
  <r>
    <d v="2026-06-03T00:00:00"/>
    <x v="90"/>
    <s v="PM"/>
    <x v="2"/>
  </r>
  <r>
    <d v="2026-06-03T00:00:00"/>
    <x v="67"/>
    <s v="PM"/>
    <x v="2"/>
  </r>
  <r>
    <d v="2026-06-03T00:00:00"/>
    <x v="70"/>
    <s v="PM"/>
    <x v="2"/>
  </r>
  <r>
    <d v="2026-06-03T00:00:00"/>
    <x v="68"/>
    <s v="PM"/>
    <x v="2"/>
  </r>
  <r>
    <d v="2026-06-03T00:00:00"/>
    <x v="92"/>
    <s v="PM"/>
    <x v="2"/>
  </r>
  <r>
    <d v="2026-06-03T00:00:00"/>
    <x v="72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08"/>
    <s v="AM"/>
    <x v="4"/>
  </r>
  <r>
    <d v="2026-06-03T00:00:00"/>
    <x v="116"/>
    <s v="AM"/>
    <x v="5"/>
  </r>
  <r>
    <d v="2026-06-03T00:00:00"/>
    <x v="104"/>
    <s v="AM"/>
    <x v="6"/>
  </r>
  <r>
    <d v="2026-06-03T00:00:00"/>
    <x v="103"/>
    <s v="AM"/>
    <x v="6"/>
  </r>
  <r>
    <d v="2026-06-03T00:00:00"/>
    <x v="112"/>
    <s v="DAY"/>
    <x v="6"/>
  </r>
  <r>
    <d v="2026-06-03T00:00:00"/>
    <x v="113"/>
    <s v="AM"/>
    <x v="6"/>
  </r>
  <r>
    <d v="2026-06-03T00:00:00"/>
    <x v="117"/>
    <s v="AM"/>
    <x v="6"/>
  </r>
  <r>
    <d v="2026-06-03T00:00:00"/>
    <x v="107"/>
    <s v="AM"/>
    <x v="6"/>
  </r>
  <r>
    <d v="2026-06-03T00:00:00"/>
    <x v="110"/>
    <s v="AM"/>
    <x v="7"/>
  </r>
  <r>
    <d v="2026-06-03T00:00:00"/>
    <x v="105"/>
    <s v="AM"/>
    <x v="7"/>
  </r>
  <r>
    <d v="2026-06-03T00:00:00"/>
    <x v="111"/>
    <s v="AM"/>
    <x v="7"/>
  </r>
  <r>
    <d v="2026-06-03T00:00:00"/>
    <x v="106"/>
    <s v="AM"/>
    <x v="7"/>
  </r>
  <r>
    <d v="2026-06-03T00:00:00"/>
    <x v="114"/>
    <s v="DAY"/>
    <x v="7"/>
  </r>
  <r>
    <d v="2026-06-03T00:00:00"/>
    <x v="115"/>
    <s v="AM"/>
    <x v="7"/>
  </r>
  <r>
    <d v="2026-06-03T00:00:00"/>
    <x v="118"/>
    <s v="AM"/>
    <x v="7"/>
  </r>
  <r>
    <d v="2026-06-03T00:00:00"/>
    <x v="119"/>
    <s v="AM"/>
    <x v="7"/>
  </r>
  <r>
    <d v="2026-06-03T00:00:00"/>
    <x v="120"/>
    <s v="AM"/>
    <x v="7"/>
  </r>
  <r>
    <d v="2026-06-03T00:00:00"/>
    <x v="121"/>
    <s v="AM"/>
    <x v="7"/>
  </r>
  <r>
    <d v="2026-06-03T00:00:00"/>
    <x v="122"/>
    <s v="AM"/>
    <x v="7"/>
  </r>
  <r>
    <d v="2026-06-03T00:00:00"/>
    <x v="102"/>
    <s v="AM"/>
    <x v="7"/>
  </r>
  <r>
    <d v="2026-06-03T00:00:00"/>
    <x v="109"/>
    <s v="AM"/>
    <x v="7"/>
  </r>
  <r>
    <d v="2026-06-03T00:00:00"/>
    <x v="123"/>
    <s v="AM"/>
    <x v="7"/>
  </r>
  <r>
    <d v="2026-06-03T00:00:00"/>
    <x v="124"/>
    <s v="AM"/>
    <x v="7"/>
  </r>
  <r>
    <d v="2026-06-03T00:00:00"/>
    <x v="125"/>
    <s v="DAY"/>
    <x v="7"/>
  </r>
  <r>
    <d v="2026-06-03T00:00:00"/>
    <x v="126"/>
    <s v="AM"/>
    <x v="7"/>
  </r>
  <r>
    <d v="2026-06-03T00:00:00"/>
    <x v="127"/>
    <s v="AM"/>
    <x v="7"/>
  </r>
  <r>
    <d v="2026-06-03T00:00:00"/>
    <x v="128"/>
    <s v="AM"/>
    <x v="7"/>
  </r>
  <r>
    <d v="2026-06-03T00:00:00"/>
    <x v="129"/>
    <s v="AM"/>
    <x v="7"/>
  </r>
  <r>
    <d v="2026-06-03T00:00:00"/>
    <x v="130"/>
    <s v="AM"/>
    <x v="7"/>
  </r>
  <r>
    <d v="2026-06-03T00:00:00"/>
    <x v="145"/>
    <s v="PM"/>
    <x v="4"/>
  </r>
  <r>
    <d v="2026-06-03T00:00:00"/>
    <x v="151"/>
    <s v="PM"/>
    <x v="5"/>
  </r>
  <r>
    <d v="2026-06-03T00:00:00"/>
    <x v="134"/>
    <s v="PM"/>
    <x v="6"/>
  </r>
  <r>
    <d v="2026-06-03T00:00:00"/>
    <x v="142"/>
    <s v="PM"/>
    <x v="6"/>
  </r>
  <r>
    <d v="2026-06-03T00:00:00"/>
    <x v="137"/>
    <s v="PM"/>
    <x v="6"/>
  </r>
  <r>
    <d v="2026-06-03T00:00:00"/>
    <x v="138"/>
    <s v="PM"/>
    <x v="6"/>
  </r>
  <r>
    <d v="2026-06-03T00:00:00"/>
    <x v="147"/>
    <s v="PM"/>
    <x v="6"/>
  </r>
  <r>
    <d v="2026-06-03T00:00:00"/>
    <x v="140"/>
    <s v="PM"/>
    <x v="6"/>
  </r>
  <r>
    <d v="2026-06-03T00:00:00"/>
    <x v="153"/>
    <s v="PM"/>
    <x v="6"/>
  </r>
  <r>
    <d v="2026-06-03T00:00:00"/>
    <x v="141"/>
    <s v="PM"/>
    <x v="6"/>
  </r>
  <r>
    <d v="2026-06-03T00:00:00"/>
    <x v="155"/>
    <s v="PM"/>
    <x v="6"/>
  </r>
  <r>
    <d v="2026-06-03T00:00:00"/>
    <x v="133"/>
    <s v="PM"/>
    <x v="7"/>
  </r>
  <r>
    <d v="2026-06-03T00:00:00"/>
    <x v="135"/>
    <s v="PM"/>
    <x v="7"/>
  </r>
  <r>
    <d v="2026-06-03T00:00:00"/>
    <x v="143"/>
    <s v="PM"/>
    <x v="7"/>
  </r>
  <r>
    <d v="2026-06-03T00:00:00"/>
    <x v="132"/>
    <s v="PM"/>
    <x v="7"/>
  </r>
  <r>
    <d v="2026-06-03T00:00:00"/>
    <x v="136"/>
    <s v="PM"/>
    <x v="7"/>
  </r>
  <r>
    <d v="2026-06-03T00:00:00"/>
    <x v="144"/>
    <s v="PM"/>
    <x v="7"/>
  </r>
  <r>
    <d v="2026-06-03T00:00:00"/>
    <x v="146"/>
    <s v="PM"/>
    <x v="7"/>
  </r>
  <r>
    <d v="2026-06-03T00:00:00"/>
    <x v="148"/>
    <s v="PM"/>
    <x v="7"/>
  </r>
  <r>
    <d v="2026-06-03T00:00:00"/>
    <x v="139"/>
    <s v="PM"/>
    <x v="7"/>
  </r>
  <r>
    <d v="2026-06-03T00:00:00"/>
    <x v="149"/>
    <s v="PM"/>
    <x v="7"/>
  </r>
  <r>
    <d v="2026-06-03T00:00:00"/>
    <x v="150"/>
    <s v="PM"/>
    <x v="7"/>
  </r>
  <r>
    <d v="2026-06-03T00:00:00"/>
    <x v="152"/>
    <s v="PM"/>
    <x v="7"/>
  </r>
  <r>
    <d v="2026-06-03T00:00:00"/>
    <x v="154"/>
    <s v="PM"/>
    <x v="7"/>
  </r>
  <r>
    <d v="2026-06-03T00:00:00"/>
    <x v="156"/>
    <s v="PM"/>
    <x v="7"/>
  </r>
  <r>
    <d v="2026-06-03T00:00:00"/>
    <x v="131"/>
    <s v="PM"/>
    <x v="7"/>
  </r>
  <r>
    <d v="2026-06-03T00:00:00"/>
    <x v="0"/>
    <s v="AM"/>
    <x v="0"/>
  </r>
  <r>
    <d v="2026-06-03T00:00:00"/>
    <x v="17"/>
    <s v="AM"/>
    <x v="0"/>
  </r>
  <r>
    <d v="2026-06-03T00:00:00"/>
    <x v="18"/>
    <s v="AM"/>
    <x v="0"/>
  </r>
  <r>
    <d v="2026-06-03T00:00:00"/>
    <x v="19"/>
    <s v="AM"/>
    <x v="0"/>
  </r>
  <r>
    <d v="2026-06-03T00:00:00"/>
    <x v="21"/>
    <s v="AM"/>
    <x v="0"/>
  </r>
  <r>
    <d v="2026-06-03T00:00:00"/>
    <x v="31"/>
    <s v="AM"/>
    <x v="0"/>
  </r>
  <r>
    <d v="2026-06-03T00:00:00"/>
    <x v="37"/>
    <s v="DAY"/>
    <x v="0"/>
  </r>
  <r>
    <d v="2026-06-03T00:00:00"/>
    <x v="40"/>
    <s v="AM"/>
    <x v="0"/>
  </r>
  <r>
    <d v="2026-06-03T00:00:00"/>
    <x v="50"/>
    <s v="AM"/>
    <x v="0"/>
  </r>
  <r>
    <d v="2026-06-03T00:00:00"/>
    <x v="54"/>
    <s v="DAY"/>
    <x v="0"/>
  </r>
  <r>
    <d v="2026-06-03T00:00:00"/>
    <x v="23"/>
    <s v="AM"/>
    <x v="1"/>
  </r>
  <r>
    <d v="2026-06-03T00:00:00"/>
    <x v="24"/>
    <s v="MI-TEMPS"/>
    <x v="1"/>
  </r>
  <r>
    <d v="2026-06-03T00:00:00"/>
    <x v="39"/>
    <s v="AM"/>
    <x v="1"/>
  </r>
  <r>
    <d v="2026-06-03T00:00:00"/>
    <x v="41"/>
    <s v="AM"/>
    <x v="1"/>
  </r>
  <r>
    <d v="2026-06-03T00:00:00"/>
    <x v="10"/>
    <s v="AM"/>
    <x v="2"/>
  </r>
  <r>
    <d v="2026-06-03T00:00:00"/>
    <x v="14"/>
    <s v="AM"/>
    <x v="2"/>
  </r>
  <r>
    <d v="2026-06-03T00:00:00"/>
    <x v="15"/>
    <s v="AM"/>
    <x v="2"/>
  </r>
  <r>
    <d v="2026-06-03T00:00:00"/>
    <x v="16"/>
    <s v="DAY"/>
    <x v="2"/>
  </r>
  <r>
    <d v="2026-06-03T00:00:00"/>
    <x v="20"/>
    <s v="AM"/>
    <x v="2"/>
  </r>
  <r>
    <d v="2026-06-03T00:00:00"/>
    <x v="22"/>
    <s v="AM"/>
    <x v="2"/>
  </r>
  <r>
    <d v="2026-06-03T00:00:00"/>
    <x v="1"/>
    <s v="AM"/>
    <x v="2"/>
  </r>
  <r>
    <d v="2026-06-03T00:00:00"/>
    <x v="25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27"/>
    <s v="MI-TEMPS"/>
    <x v="2"/>
  </r>
  <r>
    <d v="2026-06-03T00:00:00"/>
    <x v="28"/>
    <s v="AM"/>
    <x v="2"/>
  </r>
  <r>
    <d v="2026-06-03T00:00:00"/>
    <x v="29"/>
    <s v="AM"/>
    <x v="2"/>
  </r>
  <r>
    <d v="2026-06-03T00:00:00"/>
    <x v="30"/>
    <s v="DAY"/>
    <x v="2"/>
  </r>
  <r>
    <d v="2026-06-03T00:00:00"/>
    <x v="2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"/>
    <s v="AM"/>
    <x v="2"/>
  </r>
  <r>
    <d v="2026-06-03T00:00:00"/>
    <x v="34"/>
    <s v="AM"/>
    <x v="2"/>
  </r>
  <r>
    <d v="2026-06-03T00:00:00"/>
    <x v="12"/>
    <s v="AM"/>
    <x v="2"/>
  </r>
  <r>
    <d v="2026-06-03T00:00:00"/>
    <x v="35"/>
    <s v="AM"/>
    <x v="2"/>
  </r>
  <r>
    <d v="2026-06-03T00:00:00"/>
    <x v="36"/>
    <s v="AM"/>
    <x v="2"/>
  </r>
  <r>
    <d v="2026-06-03T00:00:00"/>
    <x v="38"/>
    <s v="AM"/>
    <x v="2"/>
  </r>
  <r>
    <d v="2026-06-03T00:00:00"/>
    <x v="13"/>
    <s v="AM"/>
    <x v="2"/>
  </r>
  <r>
    <d v="2026-06-03T00:00:00"/>
    <x v="4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7"/>
    <s v="AM"/>
    <x v="2"/>
  </r>
  <r>
    <d v="2026-06-03T00:00:00"/>
    <x v="48"/>
    <s v="MI-TEMPS"/>
    <x v="2"/>
  </r>
  <r>
    <d v="2026-06-03T00:00:00"/>
    <x v="49"/>
    <s v="AM"/>
    <x v="2"/>
  </r>
  <r>
    <d v="2026-06-03T00:00:00"/>
    <x v="5"/>
    <s v="AM"/>
    <x v="2"/>
  </r>
  <r>
    <d v="2026-06-03T00:00:00"/>
    <x v="6"/>
    <s v="AM"/>
    <x v="2"/>
  </r>
  <r>
    <d v="2026-06-03T00:00:00"/>
    <x v="7"/>
    <s v="AM"/>
    <x v="2"/>
  </r>
  <r>
    <d v="2026-06-03T00:00:00"/>
    <x v="8"/>
    <s v="AM"/>
    <x v="2"/>
  </r>
  <r>
    <d v="2026-06-03T00:00:00"/>
    <x v="9"/>
    <s v="AM"/>
    <x v="2"/>
  </r>
  <r>
    <d v="2026-06-03T00:00:00"/>
    <x v="51"/>
    <s v="DAY"/>
    <x v="2"/>
  </r>
  <r>
    <d v="2026-06-03T00:00:00"/>
    <x v="52"/>
    <s v="AM"/>
    <x v="2"/>
  </r>
  <r>
    <d v="2026-06-03T00:00:00"/>
    <x v="53"/>
    <s v="MI-TEMPS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3"/>
    <s v="PM"/>
    <x v="0"/>
  </r>
  <r>
    <d v="2026-06-03T00:00:00"/>
    <x v="61"/>
    <s v="PM"/>
    <x v="0"/>
  </r>
  <r>
    <d v="2026-06-03T00:00:00"/>
    <x v="81"/>
    <s v="PM"/>
    <x v="0"/>
  </r>
  <r>
    <d v="2026-06-03T00:00:00"/>
    <x v="62"/>
    <s v="PM"/>
    <x v="0"/>
  </r>
  <r>
    <d v="2026-06-03T00:00:00"/>
    <x v="82"/>
    <s v="PM"/>
    <x v="0"/>
  </r>
  <r>
    <d v="2026-06-03T00:00:00"/>
    <x v="64"/>
    <s v="PM"/>
    <x v="0"/>
  </r>
  <r>
    <d v="2026-06-03T00:00:00"/>
    <x v="90"/>
    <s v="PM"/>
    <x v="0"/>
  </r>
  <r>
    <d v="2026-06-03T00:00:00"/>
    <x v="70"/>
    <s v="PM"/>
    <x v="0"/>
  </r>
  <r>
    <d v="2026-06-03T00:00:00"/>
    <x v="92"/>
    <s v="PM"/>
    <x v="0"/>
  </r>
  <r>
    <d v="2026-06-03T00:00:00"/>
    <x v="96"/>
    <s v="PM"/>
    <x v="0"/>
  </r>
  <r>
    <d v="2026-06-03T00:00:00"/>
    <x v="75"/>
    <s v="PM"/>
    <x v="1"/>
  </r>
  <r>
    <d v="2026-06-03T00:00:00"/>
    <x v="76"/>
    <s v="PM"/>
    <x v="1"/>
  </r>
  <r>
    <d v="2026-06-03T00:00:00"/>
    <x v="83"/>
    <s v="PM"/>
    <x v="1"/>
  </r>
  <r>
    <d v="2026-06-03T00:00:00"/>
    <x v="85"/>
    <s v="PM"/>
    <x v="1"/>
  </r>
  <r>
    <d v="2026-06-03T00:00:00"/>
    <x v="74"/>
    <s v="PM"/>
    <x v="2"/>
  </r>
  <r>
    <d v="2026-06-03T00:00:00"/>
    <x v="59"/>
    <s v="PM"/>
    <x v="2"/>
  </r>
  <r>
    <d v="2026-06-03T00:00:00"/>
    <x v="60"/>
    <s v="PM"/>
    <x v="2"/>
  </r>
  <r>
    <d v="2026-06-03T00:00:00"/>
    <x v="77"/>
    <s v="PM"/>
    <x v="2"/>
  </r>
  <r>
    <d v="2026-06-03T00:00:00"/>
    <x v="78"/>
    <s v="PM"/>
    <x v="2"/>
  </r>
  <r>
    <d v="2026-06-03T00:00:00"/>
    <x v="79"/>
    <s v="PM"/>
    <x v="2"/>
  </r>
  <r>
    <d v="2026-06-03T00:00:00"/>
    <x v="80"/>
    <s v="PM"/>
    <x v="2"/>
  </r>
  <r>
    <d v="2026-06-03T00:00:00"/>
    <x v="63"/>
    <s v="PM"/>
    <x v="2"/>
  </r>
  <r>
    <d v="2026-06-03T00:00:00"/>
    <x v="65"/>
    <s v="PM"/>
    <x v="2"/>
  </r>
  <r>
    <d v="2026-06-03T00:00:00"/>
    <x v="84"/>
    <s v="PM"/>
    <x v="2"/>
  </r>
  <r>
    <d v="2026-06-03T00:00:00"/>
    <x v="86"/>
    <s v="PM"/>
    <x v="2"/>
  </r>
  <r>
    <d v="2026-06-03T00:00:00"/>
    <x v="66"/>
    <s v="PM"/>
    <x v="2"/>
  </r>
  <r>
    <d v="2026-06-03T00:00:00"/>
    <x v="87"/>
    <s v="PM"/>
    <x v="2"/>
  </r>
  <r>
    <d v="2026-06-03T00:00:00"/>
    <x v="88"/>
    <s v="PM"/>
    <x v="2"/>
  </r>
  <r>
    <d v="2026-06-03T00:00:00"/>
    <x v="89"/>
    <s v="PM"/>
    <x v="2"/>
  </r>
  <r>
    <d v="2026-06-03T00:00:00"/>
    <x v="69"/>
    <s v="PM"/>
    <x v="2"/>
  </r>
  <r>
    <d v="2026-06-03T00:00:00"/>
    <x v="91"/>
    <s v="PM"/>
    <x v="2"/>
  </r>
  <r>
    <d v="2026-06-03T00:00:00"/>
    <x v="67"/>
    <s v="PM"/>
    <x v="2"/>
  </r>
  <r>
    <d v="2026-06-03T00:00:00"/>
    <x v="71"/>
    <s v="PM"/>
    <x v="2"/>
  </r>
  <r>
    <d v="2026-06-03T00:00:00"/>
    <x v="68"/>
    <s v="PM"/>
    <x v="2"/>
  </r>
  <r>
    <d v="2026-06-03T00:00:00"/>
    <x v="93"/>
    <s v="PM"/>
    <x v="2"/>
  </r>
  <r>
    <d v="2026-06-03T00:00:00"/>
    <x v="72"/>
    <s v="PM"/>
    <x v="2"/>
  </r>
  <r>
    <d v="2026-06-03T00:00:00"/>
    <x v="94"/>
    <s v="PM"/>
    <x v="2"/>
  </r>
  <r>
    <d v="2026-06-03T00:00:00"/>
    <x v="95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16"/>
    <s v="AM"/>
    <x v="4"/>
  </r>
  <r>
    <d v="2026-06-03T00:00:00"/>
    <x v="105"/>
    <s v="AM"/>
    <x v="5"/>
  </r>
  <r>
    <d v="2026-06-03T00:00:00"/>
    <x v="106"/>
    <s v="AM"/>
    <x v="6"/>
  </r>
  <r>
    <d v="2026-06-03T00:00:00"/>
    <x v="102"/>
    <s v="AM"/>
    <x v="6"/>
  </r>
  <r>
    <d v="2026-06-03T00:00:00"/>
    <x v="109"/>
    <s v="AM"/>
    <x v="6"/>
  </r>
  <r>
    <d v="2026-06-03T00:00:00"/>
    <x v="125"/>
    <s v="DAY"/>
    <x v="6"/>
  </r>
  <r>
    <d v="2026-06-03T00:00:00"/>
    <x v="127"/>
    <s v="AM"/>
    <x v="6"/>
  </r>
  <r>
    <d v="2026-06-03T00:00:00"/>
    <x v="130"/>
    <s v="AM"/>
    <x v="6"/>
  </r>
  <r>
    <d v="2026-06-03T00:00:00"/>
    <x v="104"/>
    <s v="AM"/>
    <x v="7"/>
  </r>
  <r>
    <d v="2026-06-03T00:00:00"/>
    <x v="110"/>
    <s v="AM"/>
    <x v="7"/>
  </r>
  <r>
    <d v="2026-06-03T00:00:00"/>
    <x v="111"/>
    <s v="AM"/>
    <x v="7"/>
  </r>
  <r>
    <d v="2026-06-03T00:00:00"/>
    <x v="103"/>
    <s v="AM"/>
    <x v="7"/>
  </r>
  <r>
    <d v="2026-06-03T00:00:00"/>
    <x v="112"/>
    <s v="DAY"/>
    <x v="7"/>
  </r>
  <r>
    <d v="2026-06-03T00:00:00"/>
    <x v="113"/>
    <s v="AM"/>
    <x v="7"/>
  </r>
  <r>
    <d v="2026-06-03T00:00:00"/>
    <x v="114"/>
    <s v="DAY"/>
    <x v="7"/>
  </r>
  <r>
    <d v="2026-06-03T00:00:00"/>
    <x v="115"/>
    <s v="AM"/>
    <x v="7"/>
  </r>
  <r>
    <d v="2026-06-03T00:00:00"/>
    <x v="117"/>
    <s v="AM"/>
    <x v="7"/>
  </r>
  <r>
    <d v="2026-06-03T00:00:00"/>
    <x v="118"/>
    <s v="AM"/>
    <x v="7"/>
  </r>
  <r>
    <d v="2026-06-03T00:00:00"/>
    <x v="119"/>
    <s v="AM"/>
    <x v="7"/>
  </r>
  <r>
    <d v="2026-06-03T00:00:00"/>
    <x v="120"/>
    <s v="AM"/>
    <x v="7"/>
  </r>
  <r>
    <d v="2026-06-03T00:00:00"/>
    <x v="121"/>
    <s v="AM"/>
    <x v="7"/>
  </r>
  <r>
    <d v="2026-06-03T00:00:00"/>
    <x v="107"/>
    <s v="AM"/>
    <x v="7"/>
  </r>
  <r>
    <d v="2026-06-03T00:00:00"/>
    <x v="122"/>
    <s v="AM"/>
    <x v="7"/>
  </r>
  <r>
    <d v="2026-06-03T00:00:00"/>
    <x v="108"/>
    <s v="AM"/>
    <x v="7"/>
  </r>
  <r>
    <d v="2026-06-03T00:00:00"/>
    <x v="123"/>
    <s v="AM"/>
    <x v="7"/>
  </r>
  <r>
    <d v="2026-06-03T00:00:00"/>
    <x v="124"/>
    <s v="AM"/>
    <x v="7"/>
  </r>
  <r>
    <d v="2026-06-03T00:00:00"/>
    <x v="126"/>
    <s v="AM"/>
    <x v="7"/>
  </r>
  <r>
    <d v="2026-06-03T00:00:00"/>
    <x v="128"/>
    <s v="AM"/>
    <x v="7"/>
  </r>
  <r>
    <d v="2026-06-03T00:00:00"/>
    <x v="129"/>
    <s v="AM"/>
    <x v="7"/>
  </r>
  <r>
    <d v="2026-06-03T00:00:00"/>
    <x v="137"/>
    <s v="PM"/>
    <x v="4"/>
  </r>
  <r>
    <d v="2026-06-03T00:00:00"/>
    <x v="147"/>
    <s v="PM"/>
    <x v="5"/>
  </r>
  <r>
    <d v="2026-06-03T00:00:00"/>
    <x v="132"/>
    <s v="PM"/>
    <x v="6"/>
  </r>
  <r>
    <d v="2026-06-03T00:00:00"/>
    <x v="136"/>
    <s v="PM"/>
    <x v="6"/>
  </r>
  <r>
    <d v="2026-06-03T00:00:00"/>
    <x v="144"/>
    <s v="PM"/>
    <x v="6"/>
  </r>
  <r>
    <d v="2026-06-03T00:00:00"/>
    <x v="148"/>
    <s v="PM"/>
    <x v="6"/>
  </r>
  <r>
    <d v="2026-06-03T00:00:00"/>
    <x v="139"/>
    <s v="PM"/>
    <x v="6"/>
  </r>
  <r>
    <d v="2026-06-03T00:00:00"/>
    <x v="151"/>
    <s v="PM"/>
    <x v="6"/>
  </r>
  <r>
    <d v="2026-06-03T00:00:00"/>
    <x v="154"/>
    <s v="PM"/>
    <x v="6"/>
  </r>
  <r>
    <d v="2026-06-03T00:00:00"/>
    <x v="156"/>
    <s v="PM"/>
    <x v="6"/>
  </r>
  <r>
    <d v="2026-06-03T00:00:00"/>
    <x v="131"/>
    <s v="PM"/>
    <x v="6"/>
  </r>
  <r>
    <d v="2026-06-03T00:00:00"/>
    <x v="133"/>
    <s v="PM"/>
    <x v="7"/>
  </r>
  <r>
    <d v="2026-06-03T00:00:00"/>
    <x v="134"/>
    <s v="PM"/>
    <x v="7"/>
  </r>
  <r>
    <d v="2026-06-03T00:00:00"/>
    <x v="135"/>
    <s v="PM"/>
    <x v="7"/>
  </r>
  <r>
    <d v="2026-06-03T00:00:00"/>
    <x v="142"/>
    <s v="PM"/>
    <x v="7"/>
  </r>
  <r>
    <d v="2026-06-03T00:00:00"/>
    <x v="143"/>
    <s v="PM"/>
    <x v="7"/>
  </r>
  <r>
    <d v="2026-06-03T00:00:00"/>
    <x v="145"/>
    <s v="PM"/>
    <x v="7"/>
  </r>
  <r>
    <d v="2026-06-03T00:00:00"/>
    <x v="146"/>
    <s v="PM"/>
    <x v="7"/>
  </r>
  <r>
    <d v="2026-06-03T00:00:00"/>
    <x v="138"/>
    <s v="PM"/>
    <x v="7"/>
  </r>
  <r>
    <d v="2026-06-03T00:00:00"/>
    <x v="149"/>
    <s v="PM"/>
    <x v="7"/>
  </r>
  <r>
    <d v="2026-06-03T00:00:00"/>
    <x v="150"/>
    <s v="PM"/>
    <x v="7"/>
  </r>
  <r>
    <d v="2026-06-03T00:00:00"/>
    <x v="152"/>
    <s v="PM"/>
    <x v="7"/>
  </r>
  <r>
    <d v="2026-06-03T00:00:00"/>
    <x v="140"/>
    <s v="PM"/>
    <x v="7"/>
  </r>
  <r>
    <d v="2026-06-03T00:00:00"/>
    <x v="153"/>
    <s v="PM"/>
    <x v="7"/>
  </r>
  <r>
    <d v="2026-06-03T00:00:00"/>
    <x v="141"/>
    <s v="PM"/>
    <x v="7"/>
  </r>
  <r>
    <d v="2026-06-03T00:00:00"/>
    <x v="155"/>
    <s v="PM"/>
    <x v="7"/>
  </r>
  <r>
    <d v="2026-06-03T00:00:00"/>
    <x v="10"/>
    <s v="AM"/>
    <x v="0"/>
  </r>
  <r>
    <d v="2026-06-03T00:00:00"/>
    <x v="16"/>
    <s v="DAY"/>
    <x v="0"/>
  </r>
  <r>
    <d v="2026-06-03T00:00:00"/>
    <x v="20"/>
    <s v="AM"/>
    <x v="0"/>
  </r>
  <r>
    <d v="2026-06-03T00:00:00"/>
    <x v="24"/>
    <s v="MI-TEMPS"/>
    <x v="0"/>
  </r>
  <r>
    <d v="2026-06-03T00:00:00"/>
    <x v="26"/>
    <s v="AM"/>
    <x v="0"/>
  </r>
  <r>
    <d v="2026-06-03T00:00:00"/>
    <x v="38"/>
    <s v="AM"/>
    <x v="0"/>
  </r>
  <r>
    <d v="2026-06-03T00:00:00"/>
    <x v="4"/>
    <s v="AM"/>
    <x v="0"/>
  </r>
  <r>
    <d v="2026-06-03T00:00:00"/>
    <x v="47"/>
    <s v="AM"/>
    <x v="0"/>
  </r>
  <r>
    <d v="2026-06-03T00:00:00"/>
    <x v="6"/>
    <s v="AM"/>
    <x v="0"/>
  </r>
  <r>
    <d v="2026-06-03T00:00:00"/>
    <x v="7"/>
    <s v="AM"/>
    <x v="0"/>
  </r>
  <r>
    <d v="2026-06-03T00:00:00"/>
    <x v="27"/>
    <s v="MI-TEMPS"/>
    <x v="1"/>
  </r>
  <r>
    <d v="2026-06-03T00:00:00"/>
    <x v="35"/>
    <s v="AM"/>
    <x v="1"/>
  </r>
  <r>
    <d v="2026-06-03T00:00:00"/>
    <x v="36"/>
    <s v="AM"/>
    <x v="1"/>
  </r>
  <r>
    <d v="2026-06-03T00:00:00"/>
    <x v="9"/>
    <s v="AM"/>
    <x v="1"/>
  </r>
  <r>
    <d v="2026-06-03T00:00:00"/>
    <x v="14"/>
    <s v="AM"/>
    <x v="2"/>
  </r>
  <r>
    <d v="2026-06-03T00:00:00"/>
    <x v="0"/>
    <s v="AM"/>
    <x v="2"/>
  </r>
  <r>
    <d v="2026-06-03T00:00:00"/>
    <x v="15"/>
    <s v="AM"/>
    <x v="2"/>
  </r>
  <r>
    <d v="2026-06-03T00:00:00"/>
    <x v="17"/>
    <s v="AM"/>
    <x v="2"/>
  </r>
  <r>
    <d v="2026-06-03T00:00:00"/>
    <x v="18"/>
    <s v="AM"/>
    <x v="2"/>
  </r>
  <r>
    <d v="2026-06-03T00:00:00"/>
    <x v="19"/>
    <s v="AM"/>
    <x v="2"/>
  </r>
  <r>
    <d v="2026-06-03T00:00:00"/>
    <x v="21"/>
    <s v="AM"/>
    <x v="2"/>
  </r>
  <r>
    <d v="2026-06-03T00:00:00"/>
    <x v="22"/>
    <s v="AM"/>
    <x v="2"/>
  </r>
  <r>
    <d v="2026-06-03T00:00:00"/>
    <x v="1"/>
    <s v="AM"/>
    <x v="2"/>
  </r>
  <r>
    <d v="2026-06-03T00:00:00"/>
    <x v="23"/>
    <s v="AM"/>
    <x v="2"/>
  </r>
  <r>
    <d v="2026-06-03T00:00:00"/>
    <x v="25"/>
    <s v="MI-TEMPS"/>
    <x v="2"/>
  </r>
  <r>
    <d v="2026-06-03T00:00:00"/>
    <x v="11"/>
    <s v="AM"/>
    <x v="2"/>
  </r>
  <r>
    <d v="2026-06-03T00:00:00"/>
    <x v="28"/>
    <s v="AM"/>
    <x v="2"/>
  </r>
  <r>
    <d v="2026-06-03T00:00:00"/>
    <x v="29"/>
    <s v="AM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"/>
    <s v="AM"/>
    <x v="2"/>
  </r>
  <r>
    <d v="2026-06-03T00:00:00"/>
    <x v="34"/>
    <s v="AM"/>
    <x v="2"/>
  </r>
  <r>
    <d v="2026-06-03T00:00:00"/>
    <x v="12"/>
    <s v="AM"/>
    <x v="2"/>
  </r>
  <r>
    <d v="2026-06-03T00:00:00"/>
    <x v="37"/>
    <s v="DAY"/>
    <x v="2"/>
  </r>
  <r>
    <d v="2026-06-03T00:00:00"/>
    <x v="39"/>
    <s v="AM"/>
    <x v="2"/>
  </r>
  <r>
    <d v="2026-06-03T00:00:00"/>
    <x v="40"/>
    <s v="AM"/>
    <x v="2"/>
  </r>
  <r>
    <d v="2026-06-03T00:00:00"/>
    <x v="13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8"/>
    <s v="MI-TEMPS"/>
    <x v="2"/>
  </r>
  <r>
    <d v="2026-06-03T00:00:00"/>
    <x v="49"/>
    <s v="AM"/>
    <x v="2"/>
  </r>
  <r>
    <d v="2026-06-03T00:00:00"/>
    <x v="50"/>
    <s v="AM"/>
    <x v="2"/>
  </r>
  <r>
    <d v="2026-06-03T00:00:00"/>
    <x v="5"/>
    <s v="AM"/>
    <x v="2"/>
  </r>
  <r>
    <d v="2026-06-03T00:00:00"/>
    <x v="8"/>
    <s v="AM"/>
    <x v="2"/>
  </r>
  <r>
    <d v="2026-06-03T00:00:00"/>
    <x v="51"/>
    <s v="DAY"/>
    <x v="2"/>
  </r>
  <r>
    <d v="2026-06-03T00:00:00"/>
    <x v="52"/>
    <s v="AM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5"/>
    <s v="PM"/>
    <x v="0"/>
  </r>
  <r>
    <d v="2026-06-03T00:00:00"/>
    <x v="60"/>
    <s v="PM"/>
    <x v="0"/>
  </r>
  <r>
    <d v="2026-06-03T00:00:00"/>
    <x v="79"/>
    <s v="PM"/>
    <x v="0"/>
  </r>
  <r>
    <d v="2026-06-03T00:00:00"/>
    <x v="83"/>
    <s v="PM"/>
    <x v="0"/>
  </r>
  <r>
    <d v="2026-06-03T00:00:00"/>
    <x v="65"/>
    <s v="PM"/>
    <x v="0"/>
  </r>
  <r>
    <d v="2026-06-03T00:00:00"/>
    <x v="85"/>
    <s v="PM"/>
    <x v="0"/>
  </r>
  <r>
    <d v="2026-06-03T00:00:00"/>
    <x v="89"/>
    <s v="PM"/>
    <x v="0"/>
  </r>
  <r>
    <d v="2026-06-03T00:00:00"/>
    <x v="91"/>
    <s v="PM"/>
    <x v="0"/>
  </r>
  <r>
    <d v="2026-06-03T00:00:00"/>
    <x v="67"/>
    <s v="PM"/>
    <x v="0"/>
  </r>
  <r>
    <d v="2026-06-03T00:00:00"/>
    <x v="93"/>
    <s v="PM"/>
    <x v="0"/>
  </r>
  <r>
    <d v="2026-06-03T00:00:00"/>
    <x v="74"/>
    <s v="PM"/>
    <x v="1"/>
  </r>
  <r>
    <d v="2026-06-03T00:00:00"/>
    <x v="59"/>
    <s v="PM"/>
    <x v="1"/>
  </r>
  <r>
    <d v="2026-06-03T00:00:00"/>
    <x v="81"/>
    <s v="PM"/>
    <x v="1"/>
  </r>
  <r>
    <d v="2026-06-03T00:00:00"/>
    <x v="69"/>
    <s v="PM"/>
    <x v="1"/>
  </r>
  <r>
    <d v="2026-06-03T00:00:00"/>
    <x v="73"/>
    <s v="PM"/>
    <x v="2"/>
  </r>
  <r>
    <d v="2026-06-03T00:00:00"/>
    <x v="76"/>
    <s v="PM"/>
    <x v="2"/>
  </r>
  <r>
    <d v="2026-06-03T00:00:00"/>
    <x v="77"/>
    <s v="PM"/>
    <x v="2"/>
  </r>
  <r>
    <d v="2026-06-03T00:00:00"/>
    <x v="78"/>
    <s v="PM"/>
    <x v="2"/>
  </r>
  <r>
    <d v="2026-06-03T00:00:00"/>
    <x v="61"/>
    <s v="PM"/>
    <x v="2"/>
  </r>
  <r>
    <d v="2026-06-03T00:00:00"/>
    <x v="80"/>
    <s v="PM"/>
    <x v="2"/>
  </r>
  <r>
    <d v="2026-06-03T00:00:00"/>
    <x v="62"/>
    <s v="PM"/>
    <x v="2"/>
  </r>
  <r>
    <d v="2026-06-03T00:00:00"/>
    <x v="82"/>
    <s v="PM"/>
    <x v="2"/>
  </r>
  <r>
    <d v="2026-06-03T00:00:00"/>
    <x v="63"/>
    <s v="PM"/>
    <x v="2"/>
  </r>
  <r>
    <d v="2026-06-03T00:00:00"/>
    <x v="64"/>
    <s v="PM"/>
    <x v="2"/>
  </r>
  <r>
    <d v="2026-06-03T00:00:00"/>
    <x v="84"/>
    <s v="PM"/>
    <x v="2"/>
  </r>
  <r>
    <d v="2026-06-03T00:00:00"/>
    <x v="86"/>
    <s v="PM"/>
    <x v="2"/>
  </r>
  <r>
    <d v="2026-06-03T00:00:00"/>
    <x v="66"/>
    <s v="PM"/>
    <x v="2"/>
  </r>
  <r>
    <d v="2026-06-03T00:00:00"/>
    <x v="87"/>
    <s v="PM"/>
    <x v="2"/>
  </r>
  <r>
    <d v="2026-06-03T00:00:00"/>
    <x v="88"/>
    <s v="PM"/>
    <x v="2"/>
  </r>
  <r>
    <d v="2026-06-03T00:00:00"/>
    <x v="90"/>
    <s v="PM"/>
    <x v="2"/>
  </r>
  <r>
    <d v="2026-06-03T00:00:00"/>
    <x v="70"/>
    <s v="PM"/>
    <x v="2"/>
  </r>
  <r>
    <d v="2026-06-03T00:00:00"/>
    <x v="71"/>
    <s v="PM"/>
    <x v="2"/>
  </r>
  <r>
    <d v="2026-06-03T00:00:00"/>
    <x v="68"/>
    <s v="PM"/>
    <x v="2"/>
  </r>
  <r>
    <d v="2026-06-03T00:00:00"/>
    <x v="92"/>
    <s v="PM"/>
    <x v="2"/>
  </r>
  <r>
    <d v="2026-06-03T00:00:00"/>
    <x v="72"/>
    <s v="PM"/>
    <x v="2"/>
  </r>
  <r>
    <d v="2026-06-03T00:00:00"/>
    <x v="94"/>
    <s v="PM"/>
    <x v="2"/>
  </r>
  <r>
    <d v="2026-06-03T00:00:00"/>
    <x v="95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27"/>
    <s v="AM"/>
    <x v="4"/>
  </r>
  <r>
    <d v="2026-06-03T00:00:00"/>
    <x v="119"/>
    <s v="AM"/>
    <x v="5"/>
  </r>
  <r>
    <d v="2026-06-03T00:00:00"/>
    <x v="110"/>
    <s v="AM"/>
    <x v="6"/>
  </r>
  <r>
    <d v="2026-06-03T00:00:00"/>
    <x v="114"/>
    <s v="DAY"/>
    <x v="6"/>
  </r>
  <r>
    <d v="2026-06-03T00:00:00"/>
    <x v="116"/>
    <s v="AM"/>
    <x v="6"/>
  </r>
  <r>
    <d v="2026-06-03T00:00:00"/>
    <x v="107"/>
    <s v="AM"/>
    <x v="6"/>
  </r>
  <r>
    <d v="2026-06-03T00:00:00"/>
    <x v="122"/>
    <s v="AM"/>
    <x v="6"/>
  </r>
  <r>
    <d v="2026-06-03T00:00:00"/>
    <x v="123"/>
    <s v="AM"/>
    <x v="6"/>
  </r>
  <r>
    <d v="2026-06-03T00:00:00"/>
    <x v="104"/>
    <s v="AM"/>
    <x v="7"/>
  </r>
  <r>
    <d v="2026-06-03T00:00:00"/>
    <x v="105"/>
    <s v="AM"/>
    <x v="7"/>
  </r>
  <r>
    <d v="2026-06-03T00:00:00"/>
    <x v="111"/>
    <s v="AM"/>
    <x v="7"/>
  </r>
  <r>
    <d v="2026-06-03T00:00:00"/>
    <x v="103"/>
    <s v="AM"/>
    <x v="7"/>
  </r>
  <r>
    <d v="2026-06-03T00:00:00"/>
    <x v="112"/>
    <s v="DAY"/>
    <x v="7"/>
  </r>
  <r>
    <d v="2026-06-03T00:00:00"/>
    <x v="106"/>
    <s v="AM"/>
    <x v="7"/>
  </r>
  <r>
    <d v="2026-06-03T00:00:00"/>
    <x v="113"/>
    <s v="AM"/>
    <x v="7"/>
  </r>
  <r>
    <d v="2026-06-03T00:00:00"/>
    <x v="115"/>
    <s v="AM"/>
    <x v="7"/>
  </r>
  <r>
    <d v="2026-06-03T00:00:00"/>
    <x v="117"/>
    <s v="AM"/>
    <x v="7"/>
  </r>
  <r>
    <d v="2026-06-03T00:00:00"/>
    <x v="118"/>
    <s v="AM"/>
    <x v="7"/>
  </r>
  <r>
    <d v="2026-06-03T00:00:00"/>
    <x v="120"/>
    <s v="AM"/>
    <x v="7"/>
  </r>
  <r>
    <d v="2026-06-03T00:00:00"/>
    <x v="121"/>
    <s v="AM"/>
    <x v="7"/>
  </r>
  <r>
    <d v="2026-06-03T00:00:00"/>
    <x v="108"/>
    <s v="AM"/>
    <x v="7"/>
  </r>
  <r>
    <d v="2026-06-03T00:00:00"/>
    <x v="102"/>
    <s v="AM"/>
    <x v="7"/>
  </r>
  <r>
    <d v="2026-06-03T00:00:00"/>
    <x v="109"/>
    <s v="AM"/>
    <x v="7"/>
  </r>
  <r>
    <d v="2026-06-03T00:00:00"/>
    <x v="124"/>
    <s v="AM"/>
    <x v="7"/>
  </r>
  <r>
    <d v="2026-06-03T00:00:00"/>
    <x v="125"/>
    <s v="DAY"/>
    <x v="7"/>
  </r>
  <r>
    <d v="2026-06-03T00:00:00"/>
    <x v="126"/>
    <s v="AM"/>
    <x v="7"/>
  </r>
  <r>
    <d v="2026-06-03T00:00:00"/>
    <x v="128"/>
    <s v="AM"/>
    <x v="7"/>
  </r>
  <r>
    <d v="2026-06-03T00:00:00"/>
    <x v="129"/>
    <s v="AM"/>
    <x v="7"/>
  </r>
  <r>
    <d v="2026-06-03T00:00:00"/>
    <x v="130"/>
    <s v="AM"/>
    <x v="7"/>
  </r>
  <r>
    <d v="2026-06-03T00:00:00"/>
    <x v="138"/>
    <s v="PM"/>
    <x v="4"/>
  </r>
  <r>
    <d v="2026-06-03T00:00:00"/>
    <x v="136"/>
    <s v="PM"/>
    <x v="5"/>
  </r>
  <r>
    <d v="2026-06-03T00:00:00"/>
    <x v="132"/>
    <s v="PM"/>
    <x v="6"/>
  </r>
  <r>
    <d v="2026-06-03T00:00:00"/>
    <x v="146"/>
    <s v="PM"/>
    <x v="6"/>
  </r>
  <r>
    <d v="2026-06-03T00:00:00"/>
    <x v="139"/>
    <s v="PM"/>
    <x v="6"/>
  </r>
  <r>
    <d v="2026-06-03T00:00:00"/>
    <x v="149"/>
    <s v="PM"/>
    <x v="6"/>
  </r>
  <r>
    <d v="2026-06-03T00:00:00"/>
    <x v="152"/>
    <s v="PM"/>
    <x v="6"/>
  </r>
  <r>
    <d v="2026-06-03T00:00:00"/>
    <x v="140"/>
    <s v="PM"/>
    <x v="6"/>
  </r>
  <r>
    <d v="2026-06-03T00:00:00"/>
    <x v="153"/>
    <s v="PM"/>
    <x v="6"/>
  </r>
  <r>
    <d v="2026-06-03T00:00:00"/>
    <x v="155"/>
    <s v="PM"/>
    <x v="6"/>
  </r>
  <r>
    <d v="2026-06-03T00:00:00"/>
    <x v="156"/>
    <s v="PM"/>
    <x v="6"/>
  </r>
  <r>
    <d v="2026-06-03T00:00:00"/>
    <x v="133"/>
    <s v="PM"/>
    <x v="7"/>
  </r>
  <r>
    <d v="2026-06-03T00:00:00"/>
    <x v="134"/>
    <s v="PM"/>
    <x v="7"/>
  </r>
  <r>
    <d v="2026-06-03T00:00:00"/>
    <x v="135"/>
    <s v="PM"/>
    <x v="7"/>
  </r>
  <r>
    <d v="2026-06-03T00:00:00"/>
    <x v="142"/>
    <s v="PM"/>
    <x v="7"/>
  </r>
  <r>
    <d v="2026-06-03T00:00:00"/>
    <x v="143"/>
    <s v="PM"/>
    <x v="7"/>
  </r>
  <r>
    <d v="2026-06-03T00:00:00"/>
    <x v="144"/>
    <s v="PM"/>
    <x v="7"/>
  </r>
  <r>
    <d v="2026-06-03T00:00:00"/>
    <x v="145"/>
    <s v="PM"/>
    <x v="7"/>
  </r>
  <r>
    <d v="2026-06-03T00:00:00"/>
    <x v="137"/>
    <s v="PM"/>
    <x v="7"/>
  </r>
  <r>
    <d v="2026-06-03T00:00:00"/>
    <x v="147"/>
    <s v="PM"/>
    <x v="7"/>
  </r>
  <r>
    <d v="2026-06-03T00:00:00"/>
    <x v="148"/>
    <s v="PM"/>
    <x v="7"/>
  </r>
  <r>
    <d v="2026-06-03T00:00:00"/>
    <x v="150"/>
    <s v="PM"/>
    <x v="7"/>
  </r>
  <r>
    <d v="2026-06-03T00:00:00"/>
    <x v="151"/>
    <s v="PM"/>
    <x v="7"/>
  </r>
  <r>
    <d v="2026-06-03T00:00:00"/>
    <x v="154"/>
    <s v="PM"/>
    <x v="7"/>
  </r>
  <r>
    <d v="2026-06-03T00:00:00"/>
    <x v="141"/>
    <s v="PM"/>
    <x v="7"/>
  </r>
  <r>
    <d v="2026-06-03T00:00:00"/>
    <x v="131"/>
    <s v="PM"/>
    <x v="7"/>
  </r>
  <r>
    <d v="2026-06-03T00:00:00"/>
    <x v="14"/>
    <s v="AM"/>
    <x v="0"/>
  </r>
  <r>
    <d v="2026-06-03T00:00:00"/>
    <x v="23"/>
    <s v="AM"/>
    <x v="0"/>
  </r>
  <r>
    <d v="2026-06-03T00:00:00"/>
    <x v="25"/>
    <s v="MI-TEMPS"/>
    <x v="0"/>
  </r>
  <r>
    <d v="2026-06-03T00:00:00"/>
    <x v="11"/>
    <s v="AM"/>
    <x v="0"/>
  </r>
  <r>
    <d v="2026-06-03T00:00:00"/>
    <x v="29"/>
    <s v="AM"/>
    <x v="0"/>
  </r>
  <r>
    <d v="2026-06-03T00:00:00"/>
    <x v="3"/>
    <s v="AM"/>
    <x v="0"/>
  </r>
  <r>
    <d v="2026-06-03T00:00:00"/>
    <x v="12"/>
    <s v="AM"/>
    <x v="0"/>
  </r>
  <r>
    <d v="2026-06-03T00:00:00"/>
    <x v="13"/>
    <s v="AM"/>
    <x v="0"/>
  </r>
  <r>
    <d v="2026-06-03T00:00:00"/>
    <x v="48"/>
    <s v="MI-TEMPS"/>
    <x v="0"/>
  </r>
  <r>
    <d v="2026-06-03T00:00:00"/>
    <x v="9"/>
    <s v="AM"/>
    <x v="0"/>
  </r>
  <r>
    <d v="2026-06-03T00:00:00"/>
    <x v="0"/>
    <s v="AM"/>
    <x v="1"/>
  </r>
  <r>
    <d v="2026-06-03T00:00:00"/>
    <x v="20"/>
    <s v="AM"/>
    <x v="1"/>
  </r>
  <r>
    <d v="2026-06-03T00:00:00"/>
    <x v="49"/>
    <s v="AM"/>
    <x v="1"/>
  </r>
  <r>
    <d v="2026-06-03T00:00:00"/>
    <x v="53"/>
    <s v="MI-TEMPS"/>
    <x v="1"/>
  </r>
  <r>
    <d v="2026-06-03T00:00:00"/>
    <x v="1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18"/>
    <s v="AM"/>
    <x v="2"/>
  </r>
  <r>
    <d v="2026-06-03T00:00:00"/>
    <x v="19"/>
    <s v="AM"/>
    <x v="2"/>
  </r>
  <r>
    <d v="2026-06-03T00:00:00"/>
    <x v="21"/>
    <s v="AM"/>
    <x v="2"/>
  </r>
  <r>
    <d v="2026-06-03T00:00:00"/>
    <x v="22"/>
    <s v="AM"/>
    <x v="2"/>
  </r>
  <r>
    <d v="2026-06-03T00:00:00"/>
    <x v="1"/>
    <s v="AM"/>
    <x v="2"/>
  </r>
  <r>
    <d v="2026-06-03T00:00:00"/>
    <x v="24"/>
    <s v="MI-TEMPS"/>
    <x v="2"/>
  </r>
  <r>
    <d v="2026-06-03T00:00:00"/>
    <x v="26"/>
    <s v="AM"/>
    <x v="2"/>
  </r>
  <r>
    <d v="2026-06-03T00:00:00"/>
    <x v="27"/>
    <s v="MI-TEMPS"/>
    <x v="2"/>
  </r>
  <r>
    <d v="2026-06-03T00:00:00"/>
    <x v="28"/>
    <s v="AM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4"/>
    <s v="AM"/>
    <x v="2"/>
  </r>
  <r>
    <d v="2026-06-03T00:00:00"/>
    <x v="35"/>
    <s v="AM"/>
    <x v="2"/>
  </r>
  <r>
    <d v="2026-06-03T00:00:00"/>
    <x v="36"/>
    <s v="AM"/>
    <x v="2"/>
  </r>
  <r>
    <d v="2026-06-03T00:00:00"/>
    <x v="37"/>
    <s v="DAY"/>
    <x v="2"/>
  </r>
  <r>
    <d v="2026-06-03T00:00:00"/>
    <x v="38"/>
    <s v="AM"/>
    <x v="2"/>
  </r>
  <r>
    <d v="2026-06-03T00:00:00"/>
    <x v="39"/>
    <s v="AM"/>
    <x v="2"/>
  </r>
  <r>
    <d v="2026-06-03T00:00:00"/>
    <x v="40"/>
    <s v="AM"/>
    <x v="2"/>
  </r>
  <r>
    <d v="2026-06-03T00:00:00"/>
    <x v="4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7"/>
    <s v="AM"/>
    <x v="2"/>
  </r>
  <r>
    <d v="2026-06-03T00:00:00"/>
    <x v="50"/>
    <s v="AM"/>
    <x v="2"/>
  </r>
  <r>
    <d v="2026-06-03T00:00:00"/>
    <x v="5"/>
    <s v="AM"/>
    <x v="2"/>
  </r>
  <r>
    <d v="2026-06-03T00:00:00"/>
    <x v="6"/>
    <s v="AM"/>
    <x v="2"/>
  </r>
  <r>
    <d v="2026-06-03T00:00:00"/>
    <x v="7"/>
    <s v="AM"/>
    <x v="2"/>
  </r>
  <r>
    <d v="2026-06-03T00:00:00"/>
    <x v="8"/>
    <s v="AM"/>
    <x v="2"/>
  </r>
  <r>
    <d v="2026-06-03T00:00:00"/>
    <x v="51"/>
    <s v="DAY"/>
    <x v="2"/>
  </r>
  <r>
    <d v="2026-06-03T00:00:00"/>
    <x v="52"/>
    <s v="AM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6"/>
    <s v="PM"/>
    <x v="0"/>
  </r>
  <r>
    <d v="2026-06-03T00:00:00"/>
    <x v="77"/>
    <s v="PM"/>
    <x v="0"/>
  </r>
  <r>
    <d v="2026-06-03T00:00:00"/>
    <x v="78"/>
    <s v="PM"/>
    <x v="0"/>
  </r>
  <r>
    <d v="2026-06-03T00:00:00"/>
    <x v="63"/>
    <s v="PM"/>
    <x v="0"/>
  </r>
  <r>
    <d v="2026-06-03T00:00:00"/>
    <x v="84"/>
    <s v="PM"/>
    <x v="0"/>
  </r>
  <r>
    <d v="2026-06-03T00:00:00"/>
    <x v="87"/>
    <s v="PM"/>
    <x v="0"/>
  </r>
  <r>
    <d v="2026-06-03T00:00:00"/>
    <x v="88"/>
    <s v="PM"/>
    <x v="0"/>
  </r>
  <r>
    <d v="2026-06-03T00:00:00"/>
    <x v="68"/>
    <s v="PM"/>
    <x v="0"/>
  </r>
  <r>
    <d v="2026-06-03T00:00:00"/>
    <x v="72"/>
    <s v="PM"/>
    <x v="0"/>
  </r>
  <r>
    <d v="2026-06-03T00:00:00"/>
    <x v="94"/>
    <s v="PM"/>
    <x v="0"/>
  </r>
  <r>
    <d v="2026-06-03T00:00:00"/>
    <x v="82"/>
    <s v="PM"/>
    <x v="1"/>
  </r>
  <r>
    <d v="2026-06-03T00:00:00"/>
    <x v="64"/>
    <s v="PM"/>
    <x v="1"/>
  </r>
  <r>
    <d v="2026-06-03T00:00:00"/>
    <x v="90"/>
    <s v="PM"/>
    <x v="1"/>
  </r>
  <r>
    <d v="2026-06-03T00:00:00"/>
    <x v="67"/>
    <s v="PM"/>
    <x v="1"/>
  </r>
  <r>
    <d v="2026-06-03T00:00:00"/>
    <x v="73"/>
    <s v="PM"/>
    <x v="2"/>
  </r>
  <r>
    <d v="2026-06-03T00:00:00"/>
    <x v="74"/>
    <s v="PM"/>
    <x v="2"/>
  </r>
  <r>
    <d v="2026-06-03T00:00:00"/>
    <x v="59"/>
    <s v="PM"/>
    <x v="2"/>
  </r>
  <r>
    <d v="2026-06-03T00:00:00"/>
    <x v="75"/>
    <s v="PM"/>
    <x v="2"/>
  </r>
  <r>
    <d v="2026-06-03T00:00:00"/>
    <x v="60"/>
    <s v="PM"/>
    <x v="2"/>
  </r>
  <r>
    <d v="2026-06-03T00:00:00"/>
    <x v="79"/>
    <s v="PM"/>
    <x v="2"/>
  </r>
  <r>
    <d v="2026-06-03T00:00:00"/>
    <x v="61"/>
    <s v="PM"/>
    <x v="2"/>
  </r>
  <r>
    <d v="2026-06-03T00:00:00"/>
    <x v="80"/>
    <s v="PM"/>
    <x v="2"/>
  </r>
  <r>
    <d v="2026-06-03T00:00:00"/>
    <x v="81"/>
    <s v="PM"/>
    <x v="2"/>
  </r>
  <r>
    <d v="2026-06-03T00:00:00"/>
    <x v="62"/>
    <s v="PM"/>
    <x v="2"/>
  </r>
  <r>
    <d v="2026-06-03T00:00:00"/>
    <x v="83"/>
    <s v="PM"/>
    <x v="2"/>
  </r>
  <r>
    <d v="2026-06-03T00:00:00"/>
    <x v="65"/>
    <s v="PM"/>
    <x v="2"/>
  </r>
  <r>
    <d v="2026-06-03T00:00:00"/>
    <x v="85"/>
    <s v="PM"/>
    <x v="2"/>
  </r>
  <r>
    <d v="2026-06-03T00:00:00"/>
    <x v="86"/>
    <s v="PM"/>
    <x v="2"/>
  </r>
  <r>
    <d v="2026-06-03T00:00:00"/>
    <x v="66"/>
    <s v="PM"/>
    <x v="2"/>
  </r>
  <r>
    <d v="2026-06-03T00:00:00"/>
    <x v="89"/>
    <s v="PM"/>
    <x v="2"/>
  </r>
  <r>
    <d v="2026-06-03T00:00:00"/>
    <x v="69"/>
    <s v="PM"/>
    <x v="2"/>
  </r>
  <r>
    <d v="2026-06-03T00:00:00"/>
    <x v="91"/>
    <s v="PM"/>
    <x v="2"/>
  </r>
  <r>
    <d v="2026-06-03T00:00:00"/>
    <x v="70"/>
    <s v="PM"/>
    <x v="2"/>
  </r>
  <r>
    <d v="2026-06-03T00:00:00"/>
    <x v="71"/>
    <s v="PM"/>
    <x v="2"/>
  </r>
  <r>
    <d v="2026-06-03T00:00:00"/>
    <x v="92"/>
    <s v="PM"/>
    <x v="2"/>
  </r>
  <r>
    <d v="2026-06-03T00:00:00"/>
    <x v="93"/>
    <s v="PM"/>
    <x v="2"/>
  </r>
  <r>
    <d v="2026-06-03T00:00:00"/>
    <x v="95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29"/>
    <s v="AM"/>
    <x v="4"/>
  </r>
  <r>
    <d v="2026-06-03T00:00:00"/>
    <x v="124"/>
    <s v="AM"/>
    <x v="5"/>
  </r>
  <r>
    <d v="2026-06-03T00:00:00"/>
    <x v="105"/>
    <s v="AM"/>
    <x v="6"/>
  </r>
  <r>
    <d v="2026-06-03T00:00:00"/>
    <x v="118"/>
    <s v="AM"/>
    <x v="6"/>
  </r>
  <r>
    <d v="2026-06-03T00:00:00"/>
    <x v="119"/>
    <s v="AM"/>
    <x v="6"/>
  </r>
  <r>
    <d v="2026-06-03T00:00:00"/>
    <x v="120"/>
    <s v="AM"/>
    <x v="6"/>
  </r>
  <r>
    <d v="2026-06-03T00:00:00"/>
    <x v="121"/>
    <s v="AM"/>
    <x v="6"/>
  </r>
  <r>
    <d v="2026-06-03T00:00:00"/>
    <x v="128"/>
    <s v="AM"/>
    <x v="6"/>
  </r>
  <r>
    <d v="2026-06-03T00:00:00"/>
    <x v="104"/>
    <s v="AM"/>
    <x v="7"/>
  </r>
  <r>
    <d v="2026-06-03T00:00:00"/>
    <x v="110"/>
    <s v="AM"/>
    <x v="7"/>
  </r>
  <r>
    <d v="2026-06-03T00:00:00"/>
    <x v="111"/>
    <s v="AM"/>
    <x v="7"/>
  </r>
  <r>
    <d v="2026-06-03T00:00:00"/>
    <x v="103"/>
    <s v="AM"/>
    <x v="7"/>
  </r>
  <r>
    <d v="2026-06-03T00:00:00"/>
    <x v="112"/>
    <s v="DAY"/>
    <x v="7"/>
  </r>
  <r>
    <d v="2026-06-03T00:00:00"/>
    <x v="106"/>
    <s v="AM"/>
    <x v="7"/>
  </r>
  <r>
    <d v="2026-06-03T00:00:00"/>
    <x v="113"/>
    <s v="AM"/>
    <x v="7"/>
  </r>
  <r>
    <d v="2026-06-03T00:00:00"/>
    <x v="114"/>
    <s v="DAY"/>
    <x v="7"/>
  </r>
  <r>
    <d v="2026-06-03T00:00:00"/>
    <x v="115"/>
    <s v="AM"/>
    <x v="7"/>
  </r>
  <r>
    <d v="2026-06-03T00:00:00"/>
    <x v="116"/>
    <s v="AM"/>
    <x v="7"/>
  </r>
  <r>
    <d v="2026-06-03T00:00:00"/>
    <x v="117"/>
    <s v="AM"/>
    <x v="7"/>
  </r>
  <r>
    <d v="2026-06-03T00:00:00"/>
    <x v="107"/>
    <s v="AM"/>
    <x v="7"/>
  </r>
  <r>
    <d v="2026-06-03T00:00:00"/>
    <x v="122"/>
    <s v="AM"/>
    <x v="7"/>
  </r>
  <r>
    <d v="2026-06-03T00:00:00"/>
    <x v="108"/>
    <s v="AM"/>
    <x v="7"/>
  </r>
  <r>
    <d v="2026-06-03T00:00:00"/>
    <x v="102"/>
    <s v="AM"/>
    <x v="7"/>
  </r>
  <r>
    <d v="2026-06-03T00:00:00"/>
    <x v="109"/>
    <s v="AM"/>
    <x v="7"/>
  </r>
  <r>
    <d v="2026-06-03T00:00:00"/>
    <x v="123"/>
    <s v="AM"/>
    <x v="7"/>
  </r>
  <r>
    <d v="2026-06-03T00:00:00"/>
    <x v="125"/>
    <s v="DAY"/>
    <x v="7"/>
  </r>
  <r>
    <d v="2026-06-03T00:00:00"/>
    <x v="126"/>
    <s v="AM"/>
    <x v="7"/>
  </r>
  <r>
    <d v="2026-06-03T00:00:00"/>
    <x v="127"/>
    <s v="AM"/>
    <x v="7"/>
  </r>
  <r>
    <d v="2026-06-03T00:00:00"/>
    <x v="130"/>
    <s v="AM"/>
    <x v="7"/>
  </r>
  <r>
    <d v="2026-06-03T00:00:00"/>
    <x v="143"/>
    <s v="PM"/>
    <x v="4"/>
  </r>
  <r>
    <d v="2026-06-03T00:00:00"/>
    <x v="156"/>
    <s v="PM"/>
    <x v="5"/>
  </r>
  <r>
    <d v="2026-06-03T00:00:00"/>
    <x v="133"/>
    <s v="PM"/>
    <x v="6"/>
  </r>
  <r>
    <d v="2026-06-03T00:00:00"/>
    <x v="142"/>
    <s v="PM"/>
    <x v="6"/>
  </r>
  <r>
    <d v="2026-06-03T00:00:00"/>
    <x v="136"/>
    <s v="PM"/>
    <x v="6"/>
  </r>
  <r>
    <d v="2026-06-03T00:00:00"/>
    <x v="146"/>
    <s v="PM"/>
    <x v="6"/>
  </r>
  <r>
    <d v="2026-06-03T00:00:00"/>
    <x v="147"/>
    <s v="PM"/>
    <x v="6"/>
  </r>
  <r>
    <d v="2026-06-03T00:00:00"/>
    <x v="149"/>
    <s v="PM"/>
    <x v="6"/>
  </r>
  <r>
    <d v="2026-06-03T00:00:00"/>
    <x v="150"/>
    <s v="PM"/>
    <x v="6"/>
  </r>
  <r>
    <d v="2026-06-03T00:00:00"/>
    <x v="152"/>
    <s v="PM"/>
    <x v="6"/>
  </r>
  <r>
    <d v="2026-06-03T00:00:00"/>
    <x v="131"/>
    <s v="PM"/>
    <x v="6"/>
  </r>
  <r>
    <d v="2026-06-03T00:00:00"/>
    <x v="134"/>
    <s v="PM"/>
    <x v="7"/>
  </r>
  <r>
    <d v="2026-06-03T00:00:00"/>
    <x v="135"/>
    <s v="PM"/>
    <x v="7"/>
  </r>
  <r>
    <d v="2026-06-03T00:00:00"/>
    <x v="132"/>
    <s v="PM"/>
    <x v="7"/>
  </r>
  <r>
    <d v="2026-06-03T00:00:00"/>
    <x v="144"/>
    <s v="PM"/>
    <x v="7"/>
  </r>
  <r>
    <d v="2026-06-03T00:00:00"/>
    <x v="145"/>
    <s v="PM"/>
    <x v="7"/>
  </r>
  <r>
    <d v="2026-06-03T00:00:00"/>
    <x v="137"/>
    <s v="PM"/>
    <x v="7"/>
  </r>
  <r>
    <d v="2026-06-03T00:00:00"/>
    <x v="138"/>
    <s v="PM"/>
    <x v="7"/>
  </r>
  <r>
    <d v="2026-06-03T00:00:00"/>
    <x v="148"/>
    <s v="PM"/>
    <x v="7"/>
  </r>
  <r>
    <d v="2026-06-03T00:00:00"/>
    <x v="139"/>
    <s v="PM"/>
    <x v="7"/>
  </r>
  <r>
    <d v="2026-06-03T00:00:00"/>
    <x v="151"/>
    <s v="PM"/>
    <x v="7"/>
  </r>
  <r>
    <d v="2026-06-03T00:00:00"/>
    <x v="140"/>
    <s v="PM"/>
    <x v="7"/>
  </r>
  <r>
    <d v="2026-06-03T00:00:00"/>
    <x v="153"/>
    <s v="PM"/>
    <x v="7"/>
  </r>
  <r>
    <d v="2026-06-03T00:00:00"/>
    <x v="154"/>
    <s v="PM"/>
    <x v="7"/>
  </r>
  <r>
    <d v="2026-06-03T00:00:00"/>
    <x v="141"/>
    <s v="PM"/>
    <x v="7"/>
  </r>
  <r>
    <d v="2026-06-03T00:00:00"/>
    <x v="155"/>
    <s v="PM"/>
    <x v="7"/>
  </r>
  <r>
    <d v="2026-06-03T00:00:00"/>
    <x v="110"/>
    <s v="AM"/>
    <x v="0"/>
  </r>
  <r>
    <d v="2026-06-03T00:00:00"/>
    <x v="103"/>
    <s v="AM"/>
    <x v="0"/>
  </r>
  <r>
    <d v="2026-06-03T00:00:00"/>
    <x v="113"/>
    <s v="AM"/>
    <x v="0"/>
  </r>
  <r>
    <d v="2026-06-03T00:00:00"/>
    <x v="116"/>
    <s v="AM"/>
    <x v="0"/>
  </r>
  <r>
    <d v="2026-06-03T00:00:00"/>
    <x v="117"/>
    <s v="AM"/>
    <x v="0"/>
  </r>
  <r>
    <d v="2026-06-03T00:00:00"/>
    <x v="120"/>
    <s v="AM"/>
    <x v="0"/>
  </r>
  <r>
    <d v="2026-06-03T00:00:00"/>
    <x v="107"/>
    <s v="AM"/>
    <x v="0"/>
  </r>
  <r>
    <d v="2026-06-03T00:00:00"/>
    <x v="108"/>
    <s v="AM"/>
    <x v="0"/>
  </r>
  <r>
    <d v="2026-06-03T00:00:00"/>
    <x v="102"/>
    <s v="AM"/>
    <x v="0"/>
  </r>
  <r>
    <d v="2026-06-03T00:00:00"/>
    <x v="126"/>
    <s v="AM"/>
    <x v="0"/>
  </r>
  <r>
    <d v="2026-06-03T00:00:00"/>
    <x v="104"/>
    <s v="AM"/>
    <x v="1"/>
  </r>
  <r>
    <d v="2026-06-03T00:00:00"/>
    <x v="106"/>
    <s v="AM"/>
    <x v="1"/>
  </r>
  <r>
    <d v="2026-06-03T00:00:00"/>
    <x v="118"/>
    <s v="AM"/>
    <x v="1"/>
  </r>
  <r>
    <d v="2026-06-03T00:00:00"/>
    <x v="123"/>
    <s v="AM"/>
    <x v="1"/>
  </r>
  <r>
    <d v="2026-06-03T00:00:00"/>
    <x v="10"/>
    <s v="AM"/>
    <x v="2"/>
  </r>
  <r>
    <d v="2026-06-03T00:00:00"/>
    <x v="0"/>
    <s v="AM"/>
    <x v="2"/>
  </r>
  <r>
    <d v="2026-06-03T00:00:00"/>
    <x v="16"/>
    <s v="DAY"/>
    <x v="2"/>
  </r>
  <r>
    <d v="2026-06-03T00:00:00"/>
    <x v="18"/>
    <s v="AM"/>
    <x v="2"/>
  </r>
  <r>
    <d v="2026-06-03T00:00:00"/>
    <x v="105"/>
    <s v="AM"/>
    <x v="2"/>
  </r>
  <r>
    <d v="2026-06-03T00:00:00"/>
    <x v="20"/>
    <s v="AM"/>
    <x v="2"/>
  </r>
  <r>
    <d v="2026-06-03T00:00:00"/>
    <x v="21"/>
    <s v="AM"/>
    <x v="2"/>
  </r>
  <r>
    <d v="2026-06-03T00:00:00"/>
    <x v="112"/>
    <s v="DAY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114"/>
    <s v="DAY"/>
    <x v="2"/>
  </r>
  <r>
    <d v="2026-06-03T00:00:00"/>
    <x v="27"/>
    <s v="MI-TEMPS"/>
    <x v="2"/>
  </r>
  <r>
    <d v="2026-06-03T00:00:00"/>
    <x v="28"/>
    <s v="AM"/>
    <x v="2"/>
  </r>
  <r>
    <d v="2026-06-03T00:00:00"/>
    <x v="30"/>
    <s v="DAY"/>
    <x v="2"/>
  </r>
  <r>
    <d v="2026-06-03T00:00:00"/>
    <x v="2"/>
    <s v="AM"/>
    <x v="2"/>
  </r>
  <r>
    <d v="2026-06-03T00:00:00"/>
    <x v="32"/>
    <s v="MI-TEMPS"/>
    <x v="2"/>
  </r>
  <r>
    <d v="2026-06-03T00:00:00"/>
    <x v="3"/>
    <s v="AM"/>
    <x v="2"/>
  </r>
  <r>
    <d v="2026-06-03T00:00:00"/>
    <x v="35"/>
    <s v="AM"/>
    <x v="2"/>
  </r>
  <r>
    <d v="2026-06-03T00:00:00"/>
    <x v="36"/>
    <s v="AM"/>
    <x v="2"/>
  </r>
  <r>
    <d v="2026-06-03T00:00:00"/>
    <x v="37"/>
    <s v="DAY"/>
    <x v="2"/>
  </r>
  <r>
    <d v="2026-06-03T00:00:00"/>
    <x v="39"/>
    <s v="AM"/>
    <x v="2"/>
  </r>
  <r>
    <d v="2026-06-03T00:00:00"/>
    <x v="13"/>
    <s v="AM"/>
    <x v="2"/>
  </r>
  <r>
    <d v="2026-06-03T00:00:00"/>
    <x v="4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122"/>
    <s v="AM"/>
    <x v="2"/>
  </r>
  <r>
    <d v="2026-06-03T00:00:00"/>
    <x v="46"/>
    <s v="MI-TEMPS"/>
    <x v="2"/>
  </r>
  <r>
    <d v="2026-06-03T00:00:00"/>
    <x v="47"/>
    <s v="AM"/>
    <x v="2"/>
  </r>
  <r>
    <d v="2026-06-03T00:00:00"/>
    <x v="48"/>
    <s v="MI-TEMPS"/>
    <x v="2"/>
  </r>
  <r>
    <d v="2026-06-03T00:00:00"/>
    <x v="50"/>
    <s v="AM"/>
    <x v="2"/>
  </r>
  <r>
    <d v="2026-06-03T00:00:00"/>
    <x v="5"/>
    <s v="AM"/>
    <x v="2"/>
  </r>
  <r>
    <d v="2026-06-03T00:00:00"/>
    <x v="7"/>
    <s v="AM"/>
    <x v="2"/>
  </r>
  <r>
    <d v="2026-06-03T00:00:00"/>
    <x v="8"/>
    <s v="AM"/>
    <x v="2"/>
  </r>
  <r>
    <d v="2026-06-03T00:00:00"/>
    <x v="51"/>
    <s v="DAY"/>
    <x v="2"/>
  </r>
  <r>
    <d v="2026-06-03T00:00:00"/>
    <x v="52"/>
    <s v="AM"/>
    <x v="2"/>
  </r>
  <r>
    <d v="2026-06-03T00:00:00"/>
    <x v="54"/>
    <s v="DAY"/>
    <x v="2"/>
  </r>
  <r>
    <d v="2026-06-03T00:00:00"/>
    <x v="130"/>
    <s v="AM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135"/>
    <s v="PM"/>
    <x v="0"/>
  </r>
  <r>
    <d v="2026-06-03T00:00:00"/>
    <x v="143"/>
    <s v="PM"/>
    <x v="0"/>
  </r>
  <r>
    <d v="2026-06-03T00:00:00"/>
    <x v="137"/>
    <s v="PM"/>
    <x v="0"/>
  </r>
  <r>
    <d v="2026-06-03T00:00:00"/>
    <x v="138"/>
    <s v="PM"/>
    <x v="0"/>
  </r>
  <r>
    <d v="2026-06-03T00:00:00"/>
    <x v="147"/>
    <s v="PM"/>
    <x v="0"/>
  </r>
  <r>
    <d v="2026-06-03T00:00:00"/>
    <x v="151"/>
    <s v="PM"/>
    <x v="0"/>
  </r>
  <r>
    <d v="2026-06-03T00:00:00"/>
    <x v="154"/>
    <s v="PM"/>
    <x v="0"/>
  </r>
  <r>
    <d v="2026-06-03T00:00:00"/>
    <x v="141"/>
    <s v="PM"/>
    <x v="0"/>
  </r>
  <r>
    <d v="2026-06-03T00:00:00"/>
    <x v="155"/>
    <s v="PM"/>
    <x v="0"/>
  </r>
  <r>
    <d v="2026-06-03T00:00:00"/>
    <x v="156"/>
    <s v="PM"/>
    <x v="0"/>
  </r>
  <r>
    <d v="2026-06-03T00:00:00"/>
    <x v="132"/>
    <s v="PM"/>
    <x v="1"/>
  </r>
  <r>
    <d v="2026-06-03T00:00:00"/>
    <x v="150"/>
    <s v="PM"/>
    <x v="1"/>
  </r>
  <r>
    <d v="2026-06-03T00:00:00"/>
    <x v="140"/>
    <s v="PM"/>
    <x v="1"/>
  </r>
  <r>
    <d v="2026-06-03T00:00:00"/>
    <x v="153"/>
    <s v="PM"/>
    <x v="1"/>
  </r>
  <r>
    <d v="2026-06-03T00:00:00"/>
    <x v="75"/>
    <s v="PM"/>
    <x v="2"/>
  </r>
  <r>
    <d v="2026-06-03T00:00:00"/>
    <x v="76"/>
    <s v="PM"/>
    <x v="2"/>
  </r>
  <r>
    <d v="2026-06-03T00:00:00"/>
    <x v="78"/>
    <s v="PM"/>
    <x v="2"/>
  </r>
  <r>
    <d v="2026-06-03T00:00:00"/>
    <x v="79"/>
    <s v="PM"/>
    <x v="2"/>
  </r>
  <r>
    <d v="2026-06-03T00:00:00"/>
    <x v="61"/>
    <s v="PM"/>
    <x v="2"/>
  </r>
  <r>
    <d v="2026-06-03T00:00:00"/>
    <x v="80"/>
    <s v="PM"/>
    <x v="2"/>
  </r>
  <r>
    <d v="2026-06-03T00:00:00"/>
    <x v="81"/>
    <s v="PM"/>
    <x v="2"/>
  </r>
  <r>
    <d v="2026-06-03T00:00:00"/>
    <x v="82"/>
    <s v="PM"/>
    <x v="2"/>
  </r>
  <r>
    <d v="2026-06-03T00:00:00"/>
    <x v="64"/>
    <s v="PM"/>
    <x v="2"/>
  </r>
  <r>
    <d v="2026-06-03T00:00:00"/>
    <x v="65"/>
    <s v="PM"/>
    <x v="2"/>
  </r>
  <r>
    <d v="2026-06-03T00:00:00"/>
    <x v="85"/>
    <s v="PM"/>
    <x v="2"/>
  </r>
  <r>
    <d v="2026-06-03T00:00:00"/>
    <x v="66"/>
    <s v="PM"/>
    <x v="2"/>
  </r>
  <r>
    <d v="2026-06-03T00:00:00"/>
    <x v="87"/>
    <s v="PM"/>
    <x v="2"/>
  </r>
  <r>
    <d v="2026-06-03T00:00:00"/>
    <x v="88"/>
    <s v="PM"/>
    <x v="2"/>
  </r>
  <r>
    <d v="2026-06-03T00:00:00"/>
    <x v="89"/>
    <s v="PM"/>
    <x v="2"/>
  </r>
  <r>
    <d v="2026-06-03T00:00:00"/>
    <x v="90"/>
    <s v="PM"/>
    <x v="2"/>
  </r>
  <r>
    <d v="2026-06-03T00:00:00"/>
    <x v="69"/>
    <s v="PM"/>
    <x v="2"/>
  </r>
  <r>
    <d v="2026-06-03T00:00:00"/>
    <x v="91"/>
    <s v="PM"/>
    <x v="2"/>
  </r>
  <r>
    <d v="2026-06-03T00:00:00"/>
    <x v="70"/>
    <s v="PM"/>
    <x v="2"/>
  </r>
  <r>
    <d v="2026-06-03T00:00:00"/>
    <x v="71"/>
    <s v="PM"/>
    <x v="2"/>
  </r>
  <r>
    <d v="2026-06-03T00:00:00"/>
    <x v="92"/>
    <s v="PM"/>
    <x v="2"/>
  </r>
  <r>
    <d v="2026-06-03T00:00:00"/>
    <x v="93"/>
    <s v="PM"/>
    <x v="2"/>
  </r>
  <r>
    <d v="2026-06-03T00:00:00"/>
    <x v="95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38"/>
    <s v="AM"/>
    <x v="4"/>
  </r>
  <r>
    <d v="2026-06-03T00:00:00"/>
    <x v="34"/>
    <s v="AM"/>
    <x v="5"/>
  </r>
  <r>
    <d v="2026-06-03T00:00:00"/>
    <x v="15"/>
    <s v="AM"/>
    <x v="6"/>
  </r>
  <r>
    <d v="2026-06-03T00:00:00"/>
    <x v="22"/>
    <s v="AM"/>
    <x v="6"/>
  </r>
  <r>
    <d v="2026-06-03T00:00:00"/>
    <x v="33"/>
    <s v="AM"/>
    <x v="6"/>
  </r>
  <r>
    <d v="2026-06-03T00:00:00"/>
    <x v="12"/>
    <s v="AM"/>
    <x v="6"/>
  </r>
  <r>
    <d v="2026-06-03T00:00:00"/>
    <x v="40"/>
    <s v="AM"/>
    <x v="6"/>
  </r>
  <r>
    <d v="2026-06-03T00:00:00"/>
    <x v="45"/>
    <s v="DAY"/>
    <x v="6"/>
  </r>
  <r>
    <d v="2026-06-03T00:00:00"/>
    <x v="14"/>
    <s v="AM"/>
    <x v="7"/>
  </r>
  <r>
    <d v="2026-06-03T00:00:00"/>
    <x v="17"/>
    <s v="AM"/>
    <x v="7"/>
  </r>
  <r>
    <d v="2026-06-03T00:00:00"/>
    <x v="19"/>
    <s v="AM"/>
    <x v="7"/>
  </r>
  <r>
    <d v="2026-06-03T00:00:00"/>
    <x v="111"/>
    <s v="AM"/>
    <x v="7"/>
  </r>
  <r>
    <d v="2026-06-03T00:00:00"/>
    <x v="1"/>
    <s v="AM"/>
    <x v="7"/>
  </r>
  <r>
    <d v="2026-06-03T00:00:00"/>
    <x v="23"/>
    <s v="AM"/>
    <x v="7"/>
  </r>
  <r>
    <d v="2026-06-03T00:00:00"/>
    <x v="115"/>
    <s v="AM"/>
    <x v="7"/>
  </r>
  <r>
    <d v="2026-06-03T00:00:00"/>
    <x v="29"/>
    <s v="AM"/>
    <x v="7"/>
  </r>
  <r>
    <d v="2026-06-03T00:00:00"/>
    <x v="31"/>
    <s v="AM"/>
    <x v="7"/>
  </r>
  <r>
    <d v="2026-06-03T00:00:00"/>
    <x v="119"/>
    <s v="AM"/>
    <x v="7"/>
  </r>
  <r>
    <d v="2026-06-03T00:00:00"/>
    <x v="121"/>
    <s v="AM"/>
    <x v="7"/>
  </r>
  <r>
    <d v="2026-06-03T00:00:00"/>
    <x v="49"/>
    <s v="AM"/>
    <x v="7"/>
  </r>
  <r>
    <d v="2026-06-03T00:00:00"/>
    <x v="109"/>
    <s v="AM"/>
    <x v="7"/>
  </r>
  <r>
    <d v="2026-06-03T00:00:00"/>
    <x v="6"/>
    <s v="AM"/>
    <x v="7"/>
  </r>
  <r>
    <d v="2026-06-03T00:00:00"/>
    <x v="124"/>
    <s v="AM"/>
    <x v="7"/>
  </r>
  <r>
    <d v="2026-06-03T00:00:00"/>
    <x v="9"/>
    <s v="AM"/>
    <x v="7"/>
  </r>
  <r>
    <d v="2026-06-03T00:00:00"/>
    <x v="125"/>
    <s v="DAY"/>
    <x v="7"/>
  </r>
  <r>
    <d v="2026-06-03T00:00:00"/>
    <x v="53"/>
    <s v="MI-TEMPS"/>
    <x v="7"/>
  </r>
  <r>
    <d v="2026-06-03T00:00:00"/>
    <x v="127"/>
    <s v="AM"/>
    <x v="7"/>
  </r>
  <r>
    <d v="2026-06-03T00:00:00"/>
    <x v="128"/>
    <s v="AM"/>
    <x v="7"/>
  </r>
  <r>
    <d v="2026-06-03T00:00:00"/>
    <x v="129"/>
    <s v="AM"/>
    <x v="7"/>
  </r>
  <r>
    <d v="2026-06-03T00:00:00"/>
    <x v="142"/>
    <s v="PM"/>
    <x v="4"/>
  </r>
  <r>
    <d v="2026-06-03T00:00:00"/>
    <x v="68"/>
    <s v="PM"/>
    <x v="5"/>
  </r>
  <r>
    <d v="2026-06-03T00:00:00"/>
    <x v="73"/>
    <s v="PM"/>
    <x v="6"/>
  </r>
  <r>
    <d v="2026-06-03T00:00:00"/>
    <x v="74"/>
    <s v="PM"/>
    <x v="6"/>
  </r>
  <r>
    <d v="2026-06-03T00:00:00"/>
    <x v="59"/>
    <s v="PM"/>
    <x v="6"/>
  </r>
  <r>
    <d v="2026-06-03T00:00:00"/>
    <x v="60"/>
    <s v="PM"/>
    <x v="6"/>
  </r>
  <r>
    <d v="2026-06-03T00:00:00"/>
    <x v="63"/>
    <s v="PM"/>
    <x v="6"/>
  </r>
  <r>
    <d v="2026-06-03T00:00:00"/>
    <x v="84"/>
    <s v="PM"/>
    <x v="6"/>
  </r>
  <r>
    <d v="2026-06-03T00:00:00"/>
    <x v="86"/>
    <s v="PM"/>
    <x v="6"/>
  </r>
  <r>
    <d v="2026-06-03T00:00:00"/>
    <x v="67"/>
    <s v="PM"/>
    <x v="6"/>
  </r>
  <r>
    <d v="2026-06-03T00:00:00"/>
    <x v="94"/>
    <s v="PM"/>
    <x v="6"/>
  </r>
  <r>
    <d v="2026-06-03T00:00:00"/>
    <x v="133"/>
    <s v="PM"/>
    <x v="7"/>
  </r>
  <r>
    <d v="2026-06-03T00:00:00"/>
    <x v="134"/>
    <s v="PM"/>
    <x v="7"/>
  </r>
  <r>
    <d v="2026-06-03T00:00:00"/>
    <x v="77"/>
    <s v="PM"/>
    <x v="7"/>
  </r>
  <r>
    <d v="2026-06-03T00:00:00"/>
    <x v="136"/>
    <s v="PM"/>
    <x v="7"/>
  </r>
  <r>
    <d v="2026-06-03T00:00:00"/>
    <x v="62"/>
    <s v="PM"/>
    <x v="7"/>
  </r>
  <r>
    <d v="2026-06-03T00:00:00"/>
    <x v="144"/>
    <s v="PM"/>
    <x v="7"/>
  </r>
  <r>
    <d v="2026-06-03T00:00:00"/>
    <x v="145"/>
    <s v="PM"/>
    <x v="7"/>
  </r>
  <r>
    <d v="2026-06-03T00:00:00"/>
    <x v="83"/>
    <s v="PM"/>
    <x v="7"/>
  </r>
  <r>
    <d v="2026-06-03T00:00:00"/>
    <x v="146"/>
    <s v="PM"/>
    <x v="7"/>
  </r>
  <r>
    <d v="2026-06-03T00:00:00"/>
    <x v="148"/>
    <s v="PM"/>
    <x v="7"/>
  </r>
  <r>
    <d v="2026-06-03T00:00:00"/>
    <x v="139"/>
    <s v="PM"/>
    <x v="7"/>
  </r>
  <r>
    <d v="2026-06-03T00:00:00"/>
    <x v="149"/>
    <s v="PM"/>
    <x v="7"/>
  </r>
  <r>
    <d v="2026-06-03T00:00:00"/>
    <x v="152"/>
    <s v="PM"/>
    <x v="7"/>
  </r>
  <r>
    <d v="2026-06-03T00:00:00"/>
    <x v="72"/>
    <s v="PM"/>
    <x v="7"/>
  </r>
  <r>
    <d v="2026-06-03T00:00:00"/>
    <x v="131"/>
    <s v="PM"/>
    <x v="7"/>
  </r>
  <r>
    <d v="2026-06-03T00:00:00"/>
    <x v="104"/>
    <s v="AM"/>
    <x v="0"/>
  </r>
  <r>
    <d v="2026-06-03T00:00:00"/>
    <x v="105"/>
    <s v="AM"/>
    <x v="0"/>
  </r>
  <r>
    <d v="2026-06-03T00:00:00"/>
    <x v="112"/>
    <s v="DAY"/>
    <x v="0"/>
  </r>
  <r>
    <d v="2026-06-03T00:00:00"/>
    <x v="114"/>
    <s v="DAY"/>
    <x v="0"/>
  </r>
  <r>
    <d v="2026-06-03T00:00:00"/>
    <x v="115"/>
    <s v="AM"/>
    <x v="0"/>
  </r>
  <r>
    <d v="2026-06-03T00:00:00"/>
    <x v="118"/>
    <s v="AM"/>
    <x v="0"/>
  </r>
  <r>
    <d v="2026-06-03T00:00:00"/>
    <x v="119"/>
    <s v="AM"/>
    <x v="0"/>
  </r>
  <r>
    <d v="2026-06-03T00:00:00"/>
    <x v="122"/>
    <s v="AM"/>
    <x v="0"/>
  </r>
  <r>
    <d v="2026-06-03T00:00:00"/>
    <x v="127"/>
    <s v="AM"/>
    <x v="0"/>
  </r>
  <r>
    <d v="2026-06-03T00:00:00"/>
    <x v="130"/>
    <s v="AM"/>
    <x v="0"/>
  </r>
  <r>
    <d v="2026-06-03T00:00:00"/>
    <x v="111"/>
    <s v="AM"/>
    <x v="1"/>
  </r>
  <r>
    <d v="2026-06-03T00:00:00"/>
    <x v="116"/>
    <s v="AM"/>
    <x v="1"/>
  </r>
  <r>
    <d v="2026-06-03T00:00:00"/>
    <x v="102"/>
    <s v="AM"/>
    <x v="1"/>
  </r>
  <r>
    <d v="2026-06-03T00:00:00"/>
    <x v="126"/>
    <s v="AM"/>
    <x v="1"/>
  </r>
  <r>
    <d v="2026-06-03T00:00:00"/>
    <x v="10"/>
    <s v="AM"/>
    <x v="2"/>
  </r>
  <r>
    <d v="2026-06-03T00:00:00"/>
    <x v="14"/>
    <s v="AM"/>
    <x v="2"/>
  </r>
  <r>
    <d v="2026-06-03T00:00:00"/>
    <x v="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10"/>
    <s v="AM"/>
    <x v="2"/>
  </r>
  <r>
    <d v="2026-06-03T00:00:00"/>
    <x v="18"/>
    <s v="AM"/>
    <x v="2"/>
  </r>
  <r>
    <d v="2026-06-03T00:00:00"/>
    <x v="21"/>
    <s v="AM"/>
    <x v="2"/>
  </r>
  <r>
    <d v="2026-06-03T00:00:00"/>
    <x v="1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3"/>
    <s v="AM"/>
    <x v="2"/>
  </r>
  <r>
    <d v="2026-06-03T00:00:00"/>
    <x v="11"/>
    <s v="AM"/>
    <x v="2"/>
  </r>
  <r>
    <d v="2026-06-03T00:00:00"/>
    <x v="27"/>
    <s v="MI-TEMPS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3"/>
    <s v="AM"/>
    <x v="2"/>
  </r>
  <r>
    <d v="2026-06-03T00:00:00"/>
    <x v="35"/>
    <s v="AM"/>
    <x v="2"/>
  </r>
  <r>
    <d v="2026-06-03T00:00:00"/>
    <x v="120"/>
    <s v="AM"/>
    <x v="2"/>
  </r>
  <r>
    <d v="2026-06-03T00:00:00"/>
    <x v="37"/>
    <s v="DAY"/>
    <x v="2"/>
  </r>
  <r>
    <d v="2026-06-03T00:00:00"/>
    <x v="38"/>
    <s v="AM"/>
    <x v="2"/>
  </r>
  <r>
    <d v="2026-06-03T00:00:00"/>
    <x v="39"/>
    <s v="AM"/>
    <x v="2"/>
  </r>
  <r>
    <d v="2026-06-03T00:00:00"/>
    <x v="40"/>
    <s v="AM"/>
    <x v="2"/>
  </r>
  <r>
    <d v="2026-06-03T00:00:00"/>
    <x v="13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107"/>
    <s v="AM"/>
    <x v="2"/>
  </r>
  <r>
    <d v="2026-06-03T00:00:00"/>
    <x v="46"/>
    <s v="MI-TEMPS"/>
    <x v="2"/>
  </r>
  <r>
    <d v="2026-06-03T00:00:00"/>
    <x v="47"/>
    <s v="AM"/>
    <x v="2"/>
  </r>
  <r>
    <d v="2026-06-03T00:00:00"/>
    <x v="108"/>
    <s v="AM"/>
    <x v="2"/>
  </r>
  <r>
    <d v="2026-06-03T00:00:00"/>
    <x v="48"/>
    <s v="MI-TEMPS"/>
    <x v="2"/>
  </r>
  <r>
    <d v="2026-06-03T00:00:00"/>
    <x v="49"/>
    <s v="AM"/>
    <x v="2"/>
  </r>
  <r>
    <d v="2026-06-03T00:00:00"/>
    <x v="6"/>
    <s v="AM"/>
    <x v="2"/>
  </r>
  <r>
    <d v="2026-06-03T00:00:00"/>
    <x v="8"/>
    <s v="AM"/>
    <x v="2"/>
  </r>
  <r>
    <d v="2026-06-03T00:00:00"/>
    <x v="51"/>
    <s v="DAY"/>
    <x v="2"/>
  </r>
  <r>
    <d v="2026-06-03T00:00:00"/>
    <x v="125"/>
    <s v="DAY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134"/>
    <s v="PM"/>
    <x v="0"/>
  </r>
  <r>
    <d v="2026-06-03T00:00:00"/>
    <x v="132"/>
    <s v="PM"/>
    <x v="0"/>
  </r>
  <r>
    <d v="2026-06-03T00:00:00"/>
    <x v="136"/>
    <s v="PM"/>
    <x v="0"/>
  </r>
  <r>
    <d v="2026-06-03T00:00:00"/>
    <x v="146"/>
    <s v="PM"/>
    <x v="0"/>
  </r>
  <r>
    <d v="2026-06-03T00:00:00"/>
    <x v="147"/>
    <s v="PM"/>
    <x v="0"/>
  </r>
  <r>
    <d v="2026-06-03T00:00:00"/>
    <x v="139"/>
    <s v="PM"/>
    <x v="0"/>
  </r>
  <r>
    <d v="2026-06-03T00:00:00"/>
    <x v="149"/>
    <s v="PM"/>
    <x v="0"/>
  </r>
  <r>
    <d v="2026-06-03T00:00:00"/>
    <x v="150"/>
    <s v="PM"/>
    <x v="0"/>
  </r>
  <r>
    <d v="2026-06-03T00:00:00"/>
    <x v="152"/>
    <s v="PM"/>
    <x v="0"/>
  </r>
  <r>
    <d v="2026-06-03T00:00:00"/>
    <x v="140"/>
    <s v="PM"/>
    <x v="0"/>
  </r>
  <r>
    <d v="2026-06-03T00:00:00"/>
    <x v="143"/>
    <s v="PM"/>
    <x v="1"/>
  </r>
  <r>
    <d v="2026-06-03T00:00:00"/>
    <x v="138"/>
    <s v="PM"/>
    <x v="1"/>
  </r>
  <r>
    <d v="2026-06-03T00:00:00"/>
    <x v="154"/>
    <s v="PM"/>
    <x v="1"/>
  </r>
  <r>
    <d v="2026-06-03T00:00:00"/>
    <x v="141"/>
    <s v="PM"/>
    <x v="1"/>
  </r>
  <r>
    <d v="2026-06-03T00:00:00"/>
    <x v="73"/>
    <s v="PM"/>
    <x v="2"/>
  </r>
  <r>
    <d v="2026-06-03T00:00:00"/>
    <x v="59"/>
    <s v="PM"/>
    <x v="2"/>
  </r>
  <r>
    <d v="2026-06-03T00:00:00"/>
    <x v="75"/>
    <s v="PM"/>
    <x v="2"/>
  </r>
  <r>
    <d v="2026-06-03T00:00:00"/>
    <x v="60"/>
    <s v="PM"/>
    <x v="2"/>
  </r>
  <r>
    <d v="2026-06-03T00:00:00"/>
    <x v="77"/>
    <s v="PM"/>
    <x v="2"/>
  </r>
  <r>
    <d v="2026-06-03T00:00:00"/>
    <x v="78"/>
    <s v="PM"/>
    <x v="2"/>
  </r>
  <r>
    <d v="2026-06-03T00:00:00"/>
    <x v="79"/>
    <s v="PM"/>
    <x v="2"/>
  </r>
  <r>
    <d v="2026-06-03T00:00:00"/>
    <x v="80"/>
    <s v="PM"/>
    <x v="2"/>
  </r>
  <r>
    <d v="2026-06-03T00:00:00"/>
    <x v="62"/>
    <s v="PM"/>
    <x v="2"/>
  </r>
  <r>
    <d v="2026-06-03T00:00:00"/>
    <x v="82"/>
    <s v="PM"/>
    <x v="2"/>
  </r>
  <r>
    <d v="2026-06-03T00:00:00"/>
    <x v="64"/>
    <s v="PM"/>
    <x v="2"/>
  </r>
  <r>
    <d v="2026-06-03T00:00:00"/>
    <x v="84"/>
    <s v="PM"/>
    <x v="2"/>
  </r>
  <r>
    <d v="2026-06-03T00:00:00"/>
    <x v="85"/>
    <s v="PM"/>
    <x v="2"/>
  </r>
  <r>
    <d v="2026-06-03T00:00:00"/>
    <x v="66"/>
    <s v="PM"/>
    <x v="2"/>
  </r>
  <r>
    <d v="2026-06-03T00:00:00"/>
    <x v="88"/>
    <s v="PM"/>
    <x v="2"/>
  </r>
  <r>
    <d v="2026-06-03T00:00:00"/>
    <x v="69"/>
    <s v="PM"/>
    <x v="2"/>
  </r>
  <r>
    <d v="2026-06-03T00:00:00"/>
    <x v="91"/>
    <s v="PM"/>
    <x v="2"/>
  </r>
  <r>
    <d v="2026-06-03T00:00:00"/>
    <x v="67"/>
    <s v="PM"/>
    <x v="2"/>
  </r>
  <r>
    <d v="2026-06-03T00:00:00"/>
    <x v="68"/>
    <s v="PM"/>
    <x v="2"/>
  </r>
  <r>
    <d v="2026-06-03T00:00:00"/>
    <x v="93"/>
    <s v="PM"/>
    <x v="2"/>
  </r>
  <r>
    <d v="2026-06-03T00:00:00"/>
    <x v="72"/>
    <s v="PM"/>
    <x v="2"/>
  </r>
  <r>
    <d v="2026-06-03T00:00:00"/>
    <x v="94"/>
    <s v="PM"/>
    <x v="2"/>
  </r>
  <r>
    <d v="2026-06-03T00:00:00"/>
    <x v="155"/>
    <s v="PM"/>
    <x v="2"/>
  </r>
  <r>
    <d v="2026-06-03T00:00:00"/>
    <x v="95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52"/>
    <s v="AM"/>
    <x v="4"/>
  </r>
  <r>
    <d v="2026-06-03T00:00:00"/>
    <x v="4"/>
    <s v="AM"/>
    <x v="5"/>
  </r>
  <r>
    <d v="2026-06-03T00:00:00"/>
    <x v="17"/>
    <s v="AM"/>
    <x v="6"/>
  </r>
  <r>
    <d v="2026-06-03T00:00:00"/>
    <x v="19"/>
    <s v="AM"/>
    <x v="6"/>
  </r>
  <r>
    <d v="2026-06-03T00:00:00"/>
    <x v="50"/>
    <s v="AM"/>
    <x v="6"/>
  </r>
  <r>
    <d v="2026-06-03T00:00:00"/>
    <x v="5"/>
    <s v="AM"/>
    <x v="6"/>
  </r>
  <r>
    <d v="2026-06-03T00:00:00"/>
    <x v="7"/>
    <s v="AM"/>
    <x v="6"/>
  </r>
  <r>
    <d v="2026-06-03T00:00:00"/>
    <x v="9"/>
    <s v="AM"/>
    <x v="6"/>
  </r>
  <r>
    <d v="2026-06-03T00:00:00"/>
    <x v="20"/>
    <s v="AM"/>
    <x v="7"/>
  </r>
  <r>
    <d v="2026-06-03T00:00:00"/>
    <x v="103"/>
    <s v="AM"/>
    <x v="7"/>
  </r>
  <r>
    <d v="2026-06-03T00:00:00"/>
    <x v="106"/>
    <s v="AM"/>
    <x v="7"/>
  </r>
  <r>
    <d v="2026-06-03T00:00:00"/>
    <x v="22"/>
    <s v="AM"/>
    <x v="7"/>
  </r>
  <r>
    <d v="2026-06-03T00:00:00"/>
    <x v="23"/>
    <s v="AM"/>
    <x v="7"/>
  </r>
  <r>
    <d v="2026-06-03T00:00:00"/>
    <x v="28"/>
    <s v="AM"/>
    <x v="7"/>
  </r>
  <r>
    <d v="2026-06-03T00:00:00"/>
    <x v="29"/>
    <s v="AM"/>
    <x v="7"/>
  </r>
  <r>
    <d v="2026-06-03T00:00:00"/>
    <x v="117"/>
    <s v="AM"/>
    <x v="7"/>
  </r>
  <r>
    <d v="2026-06-03T00:00:00"/>
    <x v="33"/>
    <s v="AM"/>
    <x v="7"/>
  </r>
  <r>
    <d v="2026-06-03T00:00:00"/>
    <x v="34"/>
    <s v="AM"/>
    <x v="7"/>
  </r>
  <r>
    <d v="2026-06-03T00:00:00"/>
    <x v="12"/>
    <s v="AM"/>
    <x v="7"/>
  </r>
  <r>
    <d v="2026-06-03T00:00:00"/>
    <x v="36"/>
    <s v="AM"/>
    <x v="7"/>
  </r>
  <r>
    <d v="2026-06-03T00:00:00"/>
    <x v="121"/>
    <s v="AM"/>
    <x v="7"/>
  </r>
  <r>
    <d v="2026-06-03T00:00:00"/>
    <x v="44"/>
    <s v="MI-TEMPS"/>
    <x v="7"/>
  </r>
  <r>
    <d v="2026-06-03T00:00:00"/>
    <x v="45"/>
    <s v="DAY"/>
    <x v="7"/>
  </r>
  <r>
    <d v="2026-06-03T00:00:00"/>
    <x v="109"/>
    <s v="AM"/>
    <x v="7"/>
  </r>
  <r>
    <d v="2026-06-03T00:00:00"/>
    <x v="123"/>
    <s v="AM"/>
    <x v="7"/>
  </r>
  <r>
    <d v="2026-06-03T00:00:00"/>
    <x v="124"/>
    <s v="AM"/>
    <x v="7"/>
  </r>
  <r>
    <d v="2026-06-03T00:00:00"/>
    <x v="53"/>
    <s v="MI-TEMPS"/>
    <x v="7"/>
  </r>
  <r>
    <d v="2026-06-03T00:00:00"/>
    <x v="128"/>
    <s v="AM"/>
    <x v="7"/>
  </r>
  <r>
    <d v="2026-06-03T00:00:00"/>
    <x v="129"/>
    <s v="AM"/>
    <x v="7"/>
  </r>
  <r>
    <d v="2026-06-03T00:00:00"/>
    <x v="151"/>
    <s v="PM"/>
    <x v="4"/>
  </r>
  <r>
    <d v="2026-06-03T00:00:00"/>
    <x v="90"/>
    <s v="PM"/>
    <x v="5"/>
  </r>
  <r>
    <d v="2026-06-03T00:00:00"/>
    <x v="76"/>
    <s v="PM"/>
    <x v="6"/>
  </r>
  <r>
    <d v="2026-06-03T00:00:00"/>
    <x v="61"/>
    <s v="PM"/>
    <x v="6"/>
  </r>
  <r>
    <d v="2026-06-03T00:00:00"/>
    <x v="81"/>
    <s v="PM"/>
    <x v="6"/>
  </r>
  <r>
    <d v="2026-06-03T00:00:00"/>
    <x v="65"/>
    <s v="PM"/>
    <x v="6"/>
  </r>
  <r>
    <d v="2026-06-03T00:00:00"/>
    <x v="87"/>
    <s v="PM"/>
    <x v="6"/>
  </r>
  <r>
    <d v="2026-06-03T00:00:00"/>
    <x v="70"/>
    <s v="PM"/>
    <x v="6"/>
  </r>
  <r>
    <d v="2026-06-03T00:00:00"/>
    <x v="71"/>
    <s v="PM"/>
    <x v="6"/>
  </r>
  <r>
    <d v="2026-06-03T00:00:00"/>
    <x v="92"/>
    <s v="PM"/>
    <x v="6"/>
  </r>
  <r>
    <d v="2026-06-03T00:00:00"/>
    <x v="96"/>
    <s v="PM"/>
    <x v="6"/>
  </r>
  <r>
    <d v="2026-06-03T00:00:00"/>
    <x v="74"/>
    <s v="PM"/>
    <x v="7"/>
  </r>
  <r>
    <d v="2026-06-03T00:00:00"/>
    <x v="133"/>
    <s v="PM"/>
    <x v="7"/>
  </r>
  <r>
    <d v="2026-06-03T00:00:00"/>
    <x v="135"/>
    <s v="PM"/>
    <x v="7"/>
  </r>
  <r>
    <d v="2026-06-03T00:00:00"/>
    <x v="142"/>
    <s v="PM"/>
    <x v="7"/>
  </r>
  <r>
    <d v="2026-06-03T00:00:00"/>
    <x v="144"/>
    <s v="PM"/>
    <x v="7"/>
  </r>
  <r>
    <d v="2026-06-03T00:00:00"/>
    <x v="145"/>
    <s v="PM"/>
    <x v="7"/>
  </r>
  <r>
    <d v="2026-06-03T00:00:00"/>
    <x v="137"/>
    <s v="PM"/>
    <x v="7"/>
  </r>
  <r>
    <d v="2026-06-03T00:00:00"/>
    <x v="83"/>
    <s v="PM"/>
    <x v="7"/>
  </r>
  <r>
    <d v="2026-06-03T00:00:00"/>
    <x v="63"/>
    <s v="PM"/>
    <x v="7"/>
  </r>
  <r>
    <d v="2026-06-03T00:00:00"/>
    <x v="148"/>
    <s v="PM"/>
    <x v="7"/>
  </r>
  <r>
    <d v="2026-06-03T00:00:00"/>
    <x v="86"/>
    <s v="PM"/>
    <x v="7"/>
  </r>
  <r>
    <d v="2026-06-03T00:00:00"/>
    <x v="89"/>
    <s v="PM"/>
    <x v="7"/>
  </r>
  <r>
    <d v="2026-06-03T00:00:00"/>
    <x v="153"/>
    <s v="PM"/>
    <x v="7"/>
  </r>
  <r>
    <d v="2026-06-03T00:00:00"/>
    <x v="156"/>
    <s v="PM"/>
    <x v="7"/>
  </r>
  <r>
    <d v="2026-06-03T00:00:00"/>
    <x v="131"/>
    <s v="PM"/>
    <x v="7"/>
  </r>
  <r>
    <d v="2026-06-03T00:00:00"/>
    <x v="111"/>
    <s v="AM"/>
    <x v="0"/>
  </r>
  <r>
    <d v="2026-06-03T00:00:00"/>
    <x v="115"/>
    <s v="AM"/>
    <x v="0"/>
  </r>
  <r>
    <d v="2026-06-03T00:00:00"/>
    <x v="122"/>
    <s v="AM"/>
    <x v="0"/>
  </r>
  <r>
    <d v="2026-06-03T00:00:00"/>
    <x v="108"/>
    <s v="AM"/>
    <x v="0"/>
  </r>
  <r>
    <d v="2026-06-03T00:00:00"/>
    <x v="102"/>
    <s v="AM"/>
    <x v="0"/>
  </r>
  <r>
    <d v="2026-06-03T00:00:00"/>
    <x v="123"/>
    <s v="AM"/>
    <x v="0"/>
  </r>
  <r>
    <d v="2026-06-03T00:00:00"/>
    <x v="125"/>
    <s v="DAY"/>
    <x v="0"/>
  </r>
  <r>
    <d v="2026-06-03T00:00:00"/>
    <x v="127"/>
    <s v="AM"/>
    <x v="0"/>
  </r>
  <r>
    <d v="2026-06-03T00:00:00"/>
    <x v="128"/>
    <s v="AM"/>
    <x v="0"/>
  </r>
  <r>
    <d v="2026-06-03T00:00:00"/>
    <x v="129"/>
    <s v="AM"/>
    <x v="0"/>
  </r>
  <r>
    <d v="2026-06-03T00:00:00"/>
    <x v="105"/>
    <s v="AM"/>
    <x v="1"/>
  </r>
  <r>
    <d v="2026-06-03T00:00:00"/>
    <x v="113"/>
    <s v="AM"/>
    <x v="1"/>
  </r>
  <r>
    <d v="2026-06-03T00:00:00"/>
    <x v="114"/>
    <s v="DAY"/>
    <x v="1"/>
  </r>
  <r>
    <d v="2026-06-03T00:00:00"/>
    <x v="107"/>
    <s v="AM"/>
    <x v="1"/>
  </r>
  <r>
    <d v="2026-06-03T00:00:00"/>
    <x v="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18"/>
    <s v="AM"/>
    <x v="2"/>
  </r>
  <r>
    <d v="2026-06-03T00:00:00"/>
    <x v="21"/>
    <s v="AM"/>
    <x v="2"/>
  </r>
  <r>
    <d v="2026-06-03T00:00:00"/>
    <x v="112"/>
    <s v="DAY"/>
    <x v="2"/>
  </r>
  <r>
    <d v="2026-06-03T00:00:00"/>
    <x v="22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27"/>
    <s v="MI-TEMPS"/>
    <x v="2"/>
  </r>
  <r>
    <d v="2026-06-03T00:00:00"/>
    <x v="28"/>
    <s v="AM"/>
    <x v="2"/>
  </r>
  <r>
    <d v="2026-06-03T00:00:00"/>
    <x v="2"/>
    <s v="AM"/>
    <x v="2"/>
  </r>
  <r>
    <d v="2026-06-03T00:00:00"/>
    <x v="31"/>
    <s v="AM"/>
    <x v="2"/>
  </r>
  <r>
    <d v="2026-06-03T00:00:00"/>
    <x v="116"/>
    <s v="AM"/>
    <x v="2"/>
  </r>
  <r>
    <d v="2026-06-03T00:00:00"/>
    <x v="32"/>
    <s v="MI-TEMPS"/>
    <x v="2"/>
  </r>
  <r>
    <d v="2026-06-03T00:00:00"/>
    <x v="34"/>
    <s v="AM"/>
    <x v="2"/>
  </r>
  <r>
    <d v="2026-06-03T00:00:00"/>
    <x v="12"/>
    <s v="AM"/>
    <x v="2"/>
  </r>
  <r>
    <d v="2026-06-03T00:00:00"/>
    <x v="36"/>
    <s v="AM"/>
    <x v="2"/>
  </r>
  <r>
    <d v="2026-06-03T00:00:00"/>
    <x v="37"/>
    <s v="DAY"/>
    <x v="2"/>
  </r>
  <r>
    <d v="2026-06-03T00:00:00"/>
    <x v="38"/>
    <s v="AM"/>
    <x v="2"/>
  </r>
  <r>
    <d v="2026-06-03T00:00:00"/>
    <x v="40"/>
    <s v="AM"/>
    <x v="2"/>
  </r>
  <r>
    <d v="2026-06-03T00:00:00"/>
    <x v="13"/>
    <s v="AM"/>
    <x v="2"/>
  </r>
  <r>
    <d v="2026-06-03T00:00:00"/>
    <x v="4"/>
    <s v="AM"/>
    <x v="2"/>
  </r>
  <r>
    <d v="2026-06-03T00:00:00"/>
    <x v="41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7"/>
    <s v="AM"/>
    <x v="2"/>
  </r>
  <r>
    <d v="2026-06-03T00:00:00"/>
    <x v="48"/>
    <s v="MI-TEMPS"/>
    <x v="2"/>
  </r>
  <r>
    <d v="2026-06-03T00:00:00"/>
    <x v="49"/>
    <s v="AM"/>
    <x v="2"/>
  </r>
  <r>
    <d v="2026-06-03T00:00:00"/>
    <x v="50"/>
    <s v="AM"/>
    <x v="2"/>
  </r>
  <r>
    <d v="2026-06-03T00:00:00"/>
    <x v="7"/>
    <s v="AM"/>
    <x v="2"/>
  </r>
  <r>
    <d v="2026-06-03T00:00:00"/>
    <x v="8"/>
    <s v="AM"/>
    <x v="2"/>
  </r>
  <r>
    <d v="2026-06-03T00:00:00"/>
    <x v="9"/>
    <s v="AM"/>
    <x v="2"/>
  </r>
  <r>
    <d v="2026-06-03T00:00:00"/>
    <x v="51"/>
    <s v="DAY"/>
    <x v="2"/>
  </r>
  <r>
    <d v="2026-06-03T00:00:00"/>
    <x v="52"/>
    <s v="AM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133"/>
    <s v="PM"/>
    <x v="0"/>
  </r>
  <r>
    <d v="2026-06-03T00:00:00"/>
    <x v="142"/>
    <s v="PM"/>
    <x v="0"/>
  </r>
  <r>
    <d v="2026-06-03T00:00:00"/>
    <x v="132"/>
    <s v="PM"/>
    <x v="0"/>
  </r>
  <r>
    <d v="2026-06-03T00:00:00"/>
    <x v="144"/>
    <s v="PM"/>
    <x v="0"/>
  </r>
  <r>
    <d v="2026-06-03T00:00:00"/>
    <x v="145"/>
    <s v="PM"/>
    <x v="0"/>
  </r>
  <r>
    <d v="2026-06-03T00:00:00"/>
    <x v="138"/>
    <s v="PM"/>
    <x v="0"/>
  </r>
  <r>
    <d v="2026-06-03T00:00:00"/>
    <x v="153"/>
    <s v="PM"/>
    <x v="0"/>
  </r>
  <r>
    <d v="2026-06-03T00:00:00"/>
    <x v="154"/>
    <s v="PM"/>
    <x v="0"/>
  </r>
  <r>
    <d v="2026-06-03T00:00:00"/>
    <x v="156"/>
    <s v="PM"/>
    <x v="0"/>
  </r>
  <r>
    <d v="2026-06-03T00:00:00"/>
    <x v="131"/>
    <s v="PM"/>
    <x v="0"/>
  </r>
  <r>
    <d v="2026-06-03T00:00:00"/>
    <x v="135"/>
    <s v="PM"/>
    <x v="1"/>
  </r>
  <r>
    <d v="2026-06-03T00:00:00"/>
    <x v="136"/>
    <s v="PM"/>
    <x v="1"/>
  </r>
  <r>
    <d v="2026-06-03T00:00:00"/>
    <x v="137"/>
    <s v="PM"/>
    <x v="1"/>
  </r>
  <r>
    <d v="2026-06-03T00:00:00"/>
    <x v="149"/>
    <s v="PM"/>
    <x v="1"/>
  </r>
  <r>
    <d v="2026-06-03T00:00:00"/>
    <x v="74"/>
    <s v="PM"/>
    <x v="2"/>
  </r>
  <r>
    <d v="2026-06-03T00:00:00"/>
    <x v="59"/>
    <s v="PM"/>
    <x v="2"/>
  </r>
  <r>
    <d v="2026-06-03T00:00:00"/>
    <x v="143"/>
    <s v="PM"/>
    <x v="2"/>
  </r>
  <r>
    <d v="2026-06-03T00:00:00"/>
    <x v="76"/>
    <s v="PM"/>
    <x v="2"/>
  </r>
  <r>
    <d v="2026-06-03T00:00:00"/>
    <x v="77"/>
    <s v="PM"/>
    <x v="2"/>
  </r>
  <r>
    <d v="2026-06-03T00:00:00"/>
    <x v="78"/>
    <s v="PM"/>
    <x v="2"/>
  </r>
  <r>
    <d v="2026-06-03T00:00:00"/>
    <x v="79"/>
    <s v="PM"/>
    <x v="2"/>
  </r>
  <r>
    <d v="2026-06-03T00:00:00"/>
    <x v="80"/>
    <s v="PM"/>
    <x v="2"/>
  </r>
  <r>
    <d v="2026-06-03T00:00:00"/>
    <x v="81"/>
    <s v="PM"/>
    <x v="2"/>
  </r>
  <r>
    <d v="2026-06-03T00:00:00"/>
    <x v="62"/>
    <s v="PM"/>
    <x v="2"/>
  </r>
  <r>
    <d v="2026-06-03T00:00:00"/>
    <x v="63"/>
    <s v="PM"/>
    <x v="2"/>
  </r>
  <r>
    <d v="2026-06-03T00:00:00"/>
    <x v="64"/>
    <s v="PM"/>
    <x v="2"/>
  </r>
  <r>
    <d v="2026-06-03T00:00:00"/>
    <x v="151"/>
    <s v="PM"/>
    <x v="2"/>
  </r>
  <r>
    <d v="2026-06-03T00:00:00"/>
    <x v="84"/>
    <s v="PM"/>
    <x v="2"/>
  </r>
  <r>
    <d v="2026-06-03T00:00:00"/>
    <x v="85"/>
    <s v="PM"/>
    <x v="2"/>
  </r>
  <r>
    <d v="2026-06-03T00:00:00"/>
    <x v="66"/>
    <s v="PM"/>
    <x v="2"/>
  </r>
  <r>
    <d v="2026-06-03T00:00:00"/>
    <x v="90"/>
    <s v="PM"/>
    <x v="2"/>
  </r>
  <r>
    <d v="2026-06-03T00:00:00"/>
    <x v="69"/>
    <s v="PM"/>
    <x v="2"/>
  </r>
  <r>
    <d v="2026-06-03T00:00:00"/>
    <x v="91"/>
    <s v="PM"/>
    <x v="2"/>
  </r>
  <r>
    <d v="2026-06-03T00:00:00"/>
    <x v="70"/>
    <s v="PM"/>
    <x v="2"/>
  </r>
  <r>
    <d v="2026-06-03T00:00:00"/>
    <x v="71"/>
    <s v="PM"/>
    <x v="2"/>
  </r>
  <r>
    <d v="2026-06-03T00:00:00"/>
    <x v="68"/>
    <s v="PM"/>
    <x v="2"/>
  </r>
  <r>
    <d v="2026-06-03T00:00:00"/>
    <x v="94"/>
    <s v="PM"/>
    <x v="2"/>
  </r>
  <r>
    <d v="2026-06-03T00:00:00"/>
    <x v="141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33"/>
    <s v="AM"/>
    <x v="4"/>
  </r>
  <r>
    <d v="2026-06-03T00:00:00"/>
    <x v="3"/>
    <s v="AM"/>
    <x v="5"/>
  </r>
  <r>
    <d v="2026-06-03T00:00:00"/>
    <x v="14"/>
    <s v="AM"/>
    <x v="6"/>
  </r>
  <r>
    <d v="2026-06-03T00:00:00"/>
    <x v="20"/>
    <s v="AM"/>
    <x v="6"/>
  </r>
  <r>
    <d v="2026-06-03T00:00:00"/>
    <x v="39"/>
    <s v="AM"/>
    <x v="6"/>
  </r>
  <r>
    <d v="2026-06-03T00:00:00"/>
    <x v="42"/>
    <s v="MI-TEMPS"/>
    <x v="6"/>
  </r>
  <r>
    <d v="2026-06-03T00:00:00"/>
    <x v="43"/>
    <s v="AM"/>
    <x v="6"/>
  </r>
  <r>
    <d v="2026-06-03T00:00:00"/>
    <x v="53"/>
    <s v="MI-TEMPS"/>
    <x v="6"/>
  </r>
  <r>
    <d v="2026-06-03T00:00:00"/>
    <x v="10"/>
    <s v="AM"/>
    <x v="7"/>
  </r>
  <r>
    <d v="2026-06-03T00:00:00"/>
    <x v="104"/>
    <s v="AM"/>
    <x v="7"/>
  </r>
  <r>
    <d v="2026-06-03T00:00:00"/>
    <x v="110"/>
    <s v="AM"/>
    <x v="7"/>
  </r>
  <r>
    <d v="2026-06-03T00:00:00"/>
    <x v="19"/>
    <s v="AM"/>
    <x v="7"/>
  </r>
  <r>
    <d v="2026-06-03T00:00:00"/>
    <x v="103"/>
    <s v="AM"/>
    <x v="7"/>
  </r>
  <r>
    <d v="2026-06-03T00:00:00"/>
    <x v="106"/>
    <s v="AM"/>
    <x v="7"/>
  </r>
  <r>
    <d v="2026-06-03T00:00:00"/>
    <x v="1"/>
    <s v="AM"/>
    <x v="7"/>
  </r>
  <r>
    <d v="2026-06-03T00:00:00"/>
    <x v="29"/>
    <s v="AM"/>
    <x v="7"/>
  </r>
  <r>
    <d v="2026-06-03T00:00:00"/>
    <x v="30"/>
    <s v="DAY"/>
    <x v="7"/>
  </r>
  <r>
    <d v="2026-06-03T00:00:00"/>
    <x v="117"/>
    <s v="AM"/>
    <x v="7"/>
  </r>
  <r>
    <d v="2026-06-03T00:00:00"/>
    <x v="118"/>
    <s v="AM"/>
    <x v="7"/>
  </r>
  <r>
    <d v="2026-06-03T00:00:00"/>
    <x v="119"/>
    <s v="AM"/>
    <x v="7"/>
  </r>
  <r>
    <d v="2026-06-03T00:00:00"/>
    <x v="35"/>
    <s v="AM"/>
    <x v="7"/>
  </r>
  <r>
    <d v="2026-06-03T00:00:00"/>
    <x v="120"/>
    <s v="AM"/>
    <x v="7"/>
  </r>
  <r>
    <d v="2026-06-03T00:00:00"/>
    <x v="121"/>
    <s v="AM"/>
    <x v="7"/>
  </r>
  <r>
    <d v="2026-06-03T00:00:00"/>
    <x v="109"/>
    <s v="AM"/>
    <x v="7"/>
  </r>
  <r>
    <d v="2026-06-03T00:00:00"/>
    <x v="5"/>
    <s v="AM"/>
    <x v="7"/>
  </r>
  <r>
    <d v="2026-06-03T00:00:00"/>
    <x v="6"/>
    <s v="AM"/>
    <x v="7"/>
  </r>
  <r>
    <d v="2026-06-03T00:00:00"/>
    <x v="124"/>
    <s v="AM"/>
    <x v="7"/>
  </r>
  <r>
    <d v="2026-06-03T00:00:00"/>
    <x v="126"/>
    <s v="AM"/>
    <x v="7"/>
  </r>
  <r>
    <d v="2026-06-03T00:00:00"/>
    <x v="130"/>
    <s v="AM"/>
    <x v="7"/>
  </r>
  <r>
    <d v="2026-06-03T00:00:00"/>
    <x v="95"/>
    <s v="PM"/>
    <x v="4"/>
  </r>
  <r>
    <d v="2026-06-03T00:00:00"/>
    <x v="83"/>
    <s v="PM"/>
    <x v="5"/>
  </r>
  <r>
    <d v="2026-06-03T00:00:00"/>
    <x v="75"/>
    <s v="PM"/>
    <x v="6"/>
  </r>
  <r>
    <d v="2026-06-03T00:00:00"/>
    <x v="61"/>
    <s v="PM"/>
    <x v="6"/>
  </r>
  <r>
    <d v="2026-06-03T00:00:00"/>
    <x v="82"/>
    <s v="PM"/>
    <x v="6"/>
  </r>
  <r>
    <d v="2026-06-03T00:00:00"/>
    <x v="65"/>
    <s v="PM"/>
    <x v="6"/>
  </r>
  <r>
    <d v="2026-06-03T00:00:00"/>
    <x v="86"/>
    <s v="PM"/>
    <x v="6"/>
  </r>
  <r>
    <d v="2026-06-03T00:00:00"/>
    <x v="88"/>
    <s v="PM"/>
    <x v="6"/>
  </r>
  <r>
    <d v="2026-06-03T00:00:00"/>
    <x v="89"/>
    <s v="PM"/>
    <x v="6"/>
  </r>
  <r>
    <d v="2026-06-03T00:00:00"/>
    <x v="93"/>
    <s v="PM"/>
    <x v="6"/>
  </r>
  <r>
    <d v="2026-06-03T00:00:00"/>
    <x v="72"/>
    <s v="PM"/>
    <x v="6"/>
  </r>
  <r>
    <d v="2026-06-03T00:00:00"/>
    <x v="73"/>
    <s v="PM"/>
    <x v="7"/>
  </r>
  <r>
    <d v="2026-06-03T00:00:00"/>
    <x v="134"/>
    <s v="PM"/>
    <x v="7"/>
  </r>
  <r>
    <d v="2026-06-03T00:00:00"/>
    <x v="60"/>
    <s v="PM"/>
    <x v="7"/>
  </r>
  <r>
    <d v="2026-06-03T00:00:00"/>
    <x v="146"/>
    <s v="PM"/>
    <x v="7"/>
  </r>
  <r>
    <d v="2026-06-03T00:00:00"/>
    <x v="147"/>
    <s v="PM"/>
    <x v="7"/>
  </r>
  <r>
    <d v="2026-06-03T00:00:00"/>
    <x v="148"/>
    <s v="PM"/>
    <x v="7"/>
  </r>
  <r>
    <d v="2026-06-03T00:00:00"/>
    <x v="139"/>
    <s v="PM"/>
    <x v="7"/>
  </r>
  <r>
    <d v="2026-06-03T00:00:00"/>
    <x v="150"/>
    <s v="PM"/>
    <x v="7"/>
  </r>
  <r>
    <d v="2026-06-03T00:00:00"/>
    <x v="152"/>
    <s v="PM"/>
    <x v="7"/>
  </r>
  <r>
    <d v="2026-06-03T00:00:00"/>
    <x v="87"/>
    <s v="PM"/>
    <x v="7"/>
  </r>
  <r>
    <d v="2026-06-03T00:00:00"/>
    <x v="67"/>
    <s v="PM"/>
    <x v="7"/>
  </r>
  <r>
    <d v="2026-06-03T00:00:00"/>
    <x v="140"/>
    <s v="PM"/>
    <x v="7"/>
  </r>
  <r>
    <d v="2026-06-03T00:00:00"/>
    <x v="92"/>
    <s v="PM"/>
    <x v="7"/>
  </r>
  <r>
    <d v="2026-06-03T00:00:00"/>
    <x v="155"/>
    <s v="PM"/>
    <x v="7"/>
  </r>
  <r>
    <d v="2026-06-03T00:00:00"/>
    <x v="96"/>
    <s v="PM"/>
    <x v="7"/>
  </r>
  <r>
    <d v="2026-06-03T00:00:00"/>
    <x v="111"/>
    <s v="AM"/>
    <x v="0"/>
  </r>
  <r>
    <d v="2026-06-03T00:00:00"/>
    <x v="103"/>
    <s v="AM"/>
    <x v="0"/>
  </r>
  <r>
    <d v="2026-06-03T00:00:00"/>
    <x v="106"/>
    <s v="AM"/>
    <x v="0"/>
  </r>
  <r>
    <d v="2026-06-03T00:00:00"/>
    <x v="116"/>
    <s v="AM"/>
    <x v="0"/>
  </r>
  <r>
    <d v="2026-06-03T00:00:00"/>
    <x v="120"/>
    <s v="AM"/>
    <x v="0"/>
  </r>
  <r>
    <d v="2026-06-03T00:00:00"/>
    <x v="109"/>
    <s v="AM"/>
    <x v="0"/>
  </r>
  <r>
    <d v="2026-06-03T00:00:00"/>
    <x v="123"/>
    <s v="AM"/>
    <x v="0"/>
  </r>
  <r>
    <d v="2026-06-03T00:00:00"/>
    <x v="125"/>
    <s v="DAY"/>
    <x v="0"/>
  </r>
  <r>
    <d v="2026-06-03T00:00:00"/>
    <x v="126"/>
    <s v="AM"/>
    <x v="0"/>
  </r>
  <r>
    <d v="2026-06-03T00:00:00"/>
    <x v="130"/>
    <s v="AM"/>
    <x v="0"/>
  </r>
  <r>
    <d v="2026-06-03T00:00:00"/>
    <x v="110"/>
    <s v="AM"/>
    <x v="1"/>
  </r>
  <r>
    <d v="2026-06-03T00:00:00"/>
    <x v="117"/>
    <s v="AM"/>
    <x v="1"/>
  </r>
  <r>
    <d v="2026-06-03T00:00:00"/>
    <x v="108"/>
    <s v="AM"/>
    <x v="1"/>
  </r>
  <r>
    <d v="2026-06-03T00:00:00"/>
    <x v="127"/>
    <s v="AM"/>
    <x v="1"/>
  </r>
  <r>
    <d v="2026-06-03T00:00:00"/>
    <x v="10"/>
    <s v="AM"/>
    <x v="2"/>
  </r>
  <r>
    <d v="2026-06-03T00:00:00"/>
    <x v="16"/>
    <s v="DAY"/>
    <x v="2"/>
  </r>
  <r>
    <d v="2026-06-03T00:00:00"/>
    <x v="104"/>
    <s v="AM"/>
    <x v="2"/>
  </r>
  <r>
    <d v="2026-06-03T00:00:00"/>
    <x v="105"/>
    <s v="AM"/>
    <x v="2"/>
  </r>
  <r>
    <d v="2026-06-03T00:00:00"/>
    <x v="20"/>
    <s v="AM"/>
    <x v="2"/>
  </r>
  <r>
    <d v="2026-06-03T00:00:00"/>
    <x v="21"/>
    <s v="AM"/>
    <x v="2"/>
  </r>
  <r>
    <d v="2026-06-03T00:00:00"/>
    <x v="112"/>
    <s v="DAY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3"/>
    <s v="AM"/>
    <x v="2"/>
  </r>
  <r>
    <d v="2026-06-03T00:00:00"/>
    <x v="11"/>
    <s v="AM"/>
    <x v="2"/>
  </r>
  <r>
    <d v="2026-06-03T00:00:00"/>
    <x v="114"/>
    <s v="DAY"/>
    <x v="2"/>
  </r>
  <r>
    <d v="2026-06-03T00:00:00"/>
    <x v="27"/>
    <s v="MI-TEMPS"/>
    <x v="2"/>
  </r>
  <r>
    <d v="2026-06-03T00:00:00"/>
    <x v="115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118"/>
    <s v="AM"/>
    <x v="2"/>
  </r>
  <r>
    <d v="2026-06-03T00:00:00"/>
    <x v="33"/>
    <s v="AM"/>
    <x v="2"/>
  </r>
  <r>
    <d v="2026-06-03T00:00:00"/>
    <x v="34"/>
    <s v="AM"/>
    <x v="2"/>
  </r>
  <r>
    <d v="2026-06-03T00:00:00"/>
    <x v="12"/>
    <s v="AM"/>
    <x v="2"/>
  </r>
  <r>
    <d v="2026-06-03T00:00:00"/>
    <x v="36"/>
    <s v="AM"/>
    <x v="2"/>
  </r>
  <r>
    <d v="2026-06-03T00:00:00"/>
    <x v="37"/>
    <s v="DAY"/>
    <x v="2"/>
  </r>
  <r>
    <d v="2026-06-03T00:00:00"/>
    <x v="38"/>
    <s v="AM"/>
    <x v="2"/>
  </r>
  <r>
    <d v="2026-06-03T00:00:00"/>
    <x v="39"/>
    <s v="AM"/>
    <x v="2"/>
  </r>
  <r>
    <d v="2026-06-03T00:00:00"/>
    <x v="13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102"/>
    <s v="AM"/>
    <x v="2"/>
  </r>
  <r>
    <d v="2026-06-03T00:00:00"/>
    <x v="48"/>
    <s v="MI-TEMPS"/>
    <x v="2"/>
  </r>
  <r>
    <d v="2026-06-03T00:00:00"/>
    <x v="49"/>
    <s v="AM"/>
    <x v="2"/>
  </r>
  <r>
    <d v="2026-06-03T00:00:00"/>
    <x v="50"/>
    <s v="AM"/>
    <x v="2"/>
  </r>
  <r>
    <d v="2026-06-03T00:00:00"/>
    <x v="6"/>
    <s v="AM"/>
    <x v="2"/>
  </r>
  <r>
    <d v="2026-06-03T00:00:00"/>
    <x v="9"/>
    <s v="AM"/>
    <x v="2"/>
  </r>
  <r>
    <d v="2026-06-03T00:00:00"/>
    <x v="51"/>
    <s v="DAY"/>
    <x v="2"/>
  </r>
  <r>
    <d v="2026-06-03T00:00:00"/>
    <x v="52"/>
    <s v="AM"/>
    <x v="2"/>
  </r>
  <r>
    <d v="2026-06-03T00:00:00"/>
    <x v="128"/>
    <s v="AM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133"/>
    <s v="PM"/>
    <x v="0"/>
  </r>
  <r>
    <d v="2026-06-03T00:00:00"/>
    <x v="142"/>
    <s v="PM"/>
    <x v="0"/>
  </r>
  <r>
    <d v="2026-06-03T00:00:00"/>
    <x v="136"/>
    <s v="PM"/>
    <x v="0"/>
  </r>
  <r>
    <d v="2026-06-03T00:00:00"/>
    <x v="144"/>
    <s v="PM"/>
    <x v="0"/>
  </r>
  <r>
    <d v="2026-06-03T00:00:00"/>
    <x v="148"/>
    <s v="PM"/>
    <x v="0"/>
  </r>
  <r>
    <d v="2026-06-03T00:00:00"/>
    <x v="149"/>
    <s v="PM"/>
    <x v="0"/>
  </r>
  <r>
    <d v="2026-06-03T00:00:00"/>
    <x v="150"/>
    <s v="PM"/>
    <x v="0"/>
  </r>
  <r>
    <d v="2026-06-03T00:00:00"/>
    <x v="152"/>
    <s v="PM"/>
    <x v="0"/>
  </r>
  <r>
    <d v="2026-06-03T00:00:00"/>
    <x v="153"/>
    <s v="PM"/>
    <x v="0"/>
  </r>
  <r>
    <d v="2026-06-03T00:00:00"/>
    <x v="155"/>
    <s v="PM"/>
    <x v="0"/>
  </r>
  <r>
    <d v="2026-06-03T00:00:00"/>
    <x v="134"/>
    <s v="PM"/>
    <x v="1"/>
  </r>
  <r>
    <d v="2026-06-03T00:00:00"/>
    <x v="147"/>
    <s v="PM"/>
    <x v="1"/>
  </r>
  <r>
    <d v="2026-06-03T00:00:00"/>
    <x v="154"/>
    <s v="PM"/>
    <x v="1"/>
  </r>
  <r>
    <d v="2026-06-03T00:00:00"/>
    <x v="156"/>
    <s v="PM"/>
    <x v="1"/>
  </r>
  <r>
    <d v="2026-06-03T00:00:00"/>
    <x v="73"/>
    <s v="PM"/>
    <x v="2"/>
  </r>
  <r>
    <d v="2026-06-03T00:00:00"/>
    <x v="74"/>
    <s v="PM"/>
    <x v="2"/>
  </r>
  <r>
    <d v="2026-06-03T00:00:00"/>
    <x v="135"/>
    <s v="PM"/>
    <x v="2"/>
  </r>
  <r>
    <d v="2026-06-03T00:00:00"/>
    <x v="76"/>
    <s v="PM"/>
    <x v="2"/>
  </r>
  <r>
    <d v="2026-06-03T00:00:00"/>
    <x v="77"/>
    <s v="PM"/>
    <x v="2"/>
  </r>
  <r>
    <d v="2026-06-03T00:00:00"/>
    <x v="78"/>
    <s v="PM"/>
    <x v="2"/>
  </r>
  <r>
    <d v="2026-06-03T00:00:00"/>
    <x v="132"/>
    <s v="PM"/>
    <x v="2"/>
  </r>
  <r>
    <d v="2026-06-03T00:00:00"/>
    <x v="61"/>
    <s v="PM"/>
    <x v="2"/>
  </r>
  <r>
    <d v="2026-06-03T00:00:00"/>
    <x v="80"/>
    <s v="PM"/>
    <x v="2"/>
  </r>
  <r>
    <d v="2026-06-03T00:00:00"/>
    <x v="81"/>
    <s v="PM"/>
    <x v="2"/>
  </r>
  <r>
    <d v="2026-06-03T00:00:00"/>
    <x v="82"/>
    <s v="PM"/>
    <x v="2"/>
  </r>
  <r>
    <d v="2026-06-03T00:00:00"/>
    <x v="138"/>
    <s v="PM"/>
    <x v="2"/>
  </r>
  <r>
    <d v="2026-06-03T00:00:00"/>
    <x v="63"/>
    <s v="PM"/>
    <x v="2"/>
  </r>
  <r>
    <d v="2026-06-03T00:00:00"/>
    <x v="64"/>
    <s v="PM"/>
    <x v="2"/>
  </r>
  <r>
    <d v="2026-06-03T00:00:00"/>
    <x v="65"/>
    <s v="PM"/>
    <x v="2"/>
  </r>
  <r>
    <d v="2026-06-03T00:00:00"/>
    <x v="88"/>
    <s v="PM"/>
    <x v="2"/>
  </r>
  <r>
    <d v="2026-06-03T00:00:00"/>
    <x v="69"/>
    <s v="PM"/>
    <x v="2"/>
  </r>
  <r>
    <d v="2026-06-03T00:00:00"/>
    <x v="91"/>
    <s v="PM"/>
    <x v="2"/>
  </r>
  <r>
    <d v="2026-06-03T00:00:00"/>
    <x v="71"/>
    <s v="PM"/>
    <x v="2"/>
  </r>
  <r>
    <d v="2026-06-03T00:00:00"/>
    <x v="68"/>
    <s v="PM"/>
    <x v="2"/>
  </r>
  <r>
    <d v="2026-06-03T00:00:00"/>
    <x v="72"/>
    <s v="PM"/>
    <x v="2"/>
  </r>
  <r>
    <d v="2026-06-03T00:00:00"/>
    <x v="141"/>
    <s v="PM"/>
    <x v="2"/>
  </r>
  <r>
    <d v="2026-06-03T00:00:00"/>
    <x v="95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29"/>
    <s v="AM"/>
    <x v="4"/>
  </r>
  <r>
    <d v="2026-06-03T00:00:00"/>
    <x v="0"/>
    <s v="AM"/>
    <x v="5"/>
  </r>
  <r>
    <d v="2026-06-03T00:00:00"/>
    <x v="1"/>
    <s v="AM"/>
    <x v="6"/>
  </r>
  <r>
    <d v="2026-06-03T00:00:00"/>
    <x v="28"/>
    <s v="AM"/>
    <x v="6"/>
  </r>
  <r>
    <d v="2026-06-03T00:00:00"/>
    <x v="30"/>
    <s v="DAY"/>
    <x v="6"/>
  </r>
  <r>
    <d v="2026-06-03T00:00:00"/>
    <x v="2"/>
    <s v="AM"/>
    <x v="6"/>
  </r>
  <r>
    <d v="2026-06-03T00:00:00"/>
    <x v="35"/>
    <s v="AM"/>
    <x v="6"/>
  </r>
  <r>
    <d v="2026-06-03T00:00:00"/>
    <x v="47"/>
    <s v="AM"/>
    <x v="6"/>
  </r>
  <r>
    <d v="2026-06-03T00:00:00"/>
    <x v="14"/>
    <s v="AM"/>
    <x v="7"/>
  </r>
  <r>
    <d v="2026-06-03T00:00:00"/>
    <x v="15"/>
    <s v="AM"/>
    <x v="7"/>
  </r>
  <r>
    <d v="2026-06-03T00:00:00"/>
    <x v="17"/>
    <s v="AM"/>
    <x v="7"/>
  </r>
  <r>
    <d v="2026-06-03T00:00:00"/>
    <x v="18"/>
    <s v="AM"/>
    <x v="7"/>
  </r>
  <r>
    <d v="2026-06-03T00:00:00"/>
    <x v="19"/>
    <s v="AM"/>
    <x v="7"/>
  </r>
  <r>
    <d v="2026-06-03T00:00:00"/>
    <x v="22"/>
    <s v="AM"/>
    <x v="7"/>
  </r>
  <r>
    <d v="2026-06-03T00:00:00"/>
    <x v="23"/>
    <s v="AM"/>
    <x v="7"/>
  </r>
  <r>
    <d v="2026-06-03T00:00:00"/>
    <x v="3"/>
    <s v="AM"/>
    <x v="7"/>
  </r>
  <r>
    <d v="2026-06-03T00:00:00"/>
    <x v="119"/>
    <s v="AM"/>
    <x v="7"/>
  </r>
  <r>
    <d v="2026-06-03T00:00:00"/>
    <x v="121"/>
    <s v="AM"/>
    <x v="7"/>
  </r>
  <r>
    <d v="2026-06-03T00:00:00"/>
    <x v="40"/>
    <s v="AM"/>
    <x v="7"/>
  </r>
  <r>
    <d v="2026-06-03T00:00:00"/>
    <x v="4"/>
    <s v="AM"/>
    <x v="7"/>
  </r>
  <r>
    <d v="2026-06-03T00:00:00"/>
    <x v="107"/>
    <s v="AM"/>
    <x v="7"/>
  </r>
  <r>
    <d v="2026-06-03T00:00:00"/>
    <x v="122"/>
    <s v="AM"/>
    <x v="7"/>
  </r>
  <r>
    <d v="2026-06-03T00:00:00"/>
    <x v="46"/>
    <s v="MI-TEMPS"/>
    <x v="7"/>
  </r>
  <r>
    <d v="2026-06-03T00:00:00"/>
    <x v="5"/>
    <s v="AM"/>
    <x v="7"/>
  </r>
  <r>
    <d v="2026-06-03T00:00:00"/>
    <x v="7"/>
    <s v="AM"/>
    <x v="7"/>
  </r>
  <r>
    <d v="2026-06-03T00:00:00"/>
    <x v="8"/>
    <s v="AM"/>
    <x v="7"/>
  </r>
  <r>
    <d v="2026-06-03T00:00:00"/>
    <x v="124"/>
    <s v="AM"/>
    <x v="7"/>
  </r>
  <r>
    <d v="2026-06-03T00:00:00"/>
    <x v="53"/>
    <s v="MI-TEMPS"/>
    <x v="7"/>
  </r>
  <r>
    <d v="2026-06-03T00:00:00"/>
    <x v="129"/>
    <s v="AM"/>
    <x v="7"/>
  </r>
  <r>
    <d v="2026-06-03T00:00:00"/>
    <x v="70"/>
    <s v="PM"/>
    <x v="4"/>
  </r>
  <r>
    <d v="2026-06-03T00:00:00"/>
    <x v="79"/>
    <s v="PM"/>
    <x v="5"/>
  </r>
  <r>
    <d v="2026-06-03T00:00:00"/>
    <x v="59"/>
    <s v="PM"/>
    <x v="6"/>
  </r>
  <r>
    <d v="2026-06-03T00:00:00"/>
    <x v="62"/>
    <s v="PM"/>
    <x v="6"/>
  </r>
  <r>
    <d v="2026-06-03T00:00:00"/>
    <x v="83"/>
    <s v="PM"/>
    <x v="6"/>
  </r>
  <r>
    <d v="2026-06-03T00:00:00"/>
    <x v="85"/>
    <s v="PM"/>
    <x v="6"/>
  </r>
  <r>
    <d v="2026-06-03T00:00:00"/>
    <x v="66"/>
    <s v="PM"/>
    <x v="6"/>
  </r>
  <r>
    <d v="2026-06-03T00:00:00"/>
    <x v="87"/>
    <s v="PM"/>
    <x v="6"/>
  </r>
  <r>
    <d v="2026-06-03T00:00:00"/>
    <x v="90"/>
    <s v="PM"/>
    <x v="6"/>
  </r>
  <r>
    <d v="2026-06-03T00:00:00"/>
    <x v="92"/>
    <s v="PM"/>
    <x v="6"/>
  </r>
  <r>
    <d v="2026-06-03T00:00:00"/>
    <x v="93"/>
    <s v="PM"/>
    <x v="6"/>
  </r>
  <r>
    <d v="2026-06-03T00:00:00"/>
    <x v="143"/>
    <s v="PM"/>
    <x v="7"/>
  </r>
  <r>
    <d v="2026-06-03T00:00:00"/>
    <x v="75"/>
    <s v="PM"/>
    <x v="7"/>
  </r>
  <r>
    <d v="2026-06-03T00:00:00"/>
    <x v="60"/>
    <s v="PM"/>
    <x v="7"/>
  </r>
  <r>
    <d v="2026-06-03T00:00:00"/>
    <x v="145"/>
    <s v="PM"/>
    <x v="7"/>
  </r>
  <r>
    <d v="2026-06-03T00:00:00"/>
    <x v="137"/>
    <s v="PM"/>
    <x v="7"/>
  </r>
  <r>
    <d v="2026-06-03T00:00:00"/>
    <x v="146"/>
    <s v="PM"/>
    <x v="7"/>
  </r>
  <r>
    <d v="2026-06-03T00:00:00"/>
    <x v="139"/>
    <s v="PM"/>
    <x v="7"/>
  </r>
  <r>
    <d v="2026-06-03T00:00:00"/>
    <x v="151"/>
    <s v="PM"/>
    <x v="7"/>
  </r>
  <r>
    <d v="2026-06-03T00:00:00"/>
    <x v="84"/>
    <s v="PM"/>
    <x v="7"/>
  </r>
  <r>
    <d v="2026-06-03T00:00:00"/>
    <x v="86"/>
    <s v="PM"/>
    <x v="7"/>
  </r>
  <r>
    <d v="2026-06-03T00:00:00"/>
    <x v="89"/>
    <s v="PM"/>
    <x v="7"/>
  </r>
  <r>
    <d v="2026-06-03T00:00:00"/>
    <x v="67"/>
    <s v="PM"/>
    <x v="7"/>
  </r>
  <r>
    <d v="2026-06-03T00:00:00"/>
    <x v="140"/>
    <s v="PM"/>
    <x v="7"/>
  </r>
  <r>
    <d v="2026-06-03T00:00:00"/>
    <x v="94"/>
    <s v="PM"/>
    <x v="7"/>
  </r>
  <r>
    <d v="2026-06-03T00:00:00"/>
    <x v="131"/>
    <s v="PM"/>
    <x v="7"/>
  </r>
  <r>
    <d v="2026-06-03T00:00:00"/>
    <x v="104"/>
    <s v="AM"/>
    <x v="0"/>
  </r>
  <r>
    <d v="2026-06-03T00:00:00"/>
    <x v="105"/>
    <s v="AM"/>
    <x v="0"/>
  </r>
  <r>
    <d v="2026-06-03T00:00:00"/>
    <x v="112"/>
    <s v="DAY"/>
    <x v="0"/>
  </r>
  <r>
    <d v="2026-06-03T00:00:00"/>
    <x v="106"/>
    <s v="AM"/>
    <x v="0"/>
  </r>
  <r>
    <d v="2026-06-03T00:00:00"/>
    <x v="113"/>
    <s v="AM"/>
    <x v="0"/>
  </r>
  <r>
    <d v="2026-06-03T00:00:00"/>
    <x v="114"/>
    <s v="DAY"/>
    <x v="0"/>
  </r>
  <r>
    <d v="2026-06-03T00:00:00"/>
    <x v="118"/>
    <s v="AM"/>
    <x v="0"/>
  </r>
  <r>
    <d v="2026-06-03T00:00:00"/>
    <x v="119"/>
    <s v="AM"/>
    <x v="0"/>
  </r>
  <r>
    <d v="2026-06-03T00:00:00"/>
    <x v="121"/>
    <s v="AM"/>
    <x v="0"/>
  </r>
  <r>
    <d v="2026-06-03T00:00:00"/>
    <x v="129"/>
    <s v="AM"/>
    <x v="0"/>
  </r>
  <r>
    <d v="2026-06-03T00:00:00"/>
    <x v="103"/>
    <s v="AM"/>
    <x v="1"/>
  </r>
  <r>
    <d v="2026-06-03T00:00:00"/>
    <x v="122"/>
    <s v="AM"/>
    <x v="1"/>
  </r>
  <r>
    <d v="2026-06-03T00:00:00"/>
    <x v="125"/>
    <s v="DAY"/>
    <x v="1"/>
  </r>
  <r>
    <d v="2026-06-03T00:00:00"/>
    <x v="130"/>
    <s v="AM"/>
    <x v="1"/>
  </r>
  <r>
    <d v="2026-06-03T00:00:00"/>
    <x v="10"/>
    <s v="AM"/>
    <x v="2"/>
  </r>
  <r>
    <d v="2026-06-03T00:00:00"/>
    <x v="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111"/>
    <s v="AM"/>
    <x v="2"/>
  </r>
  <r>
    <d v="2026-06-03T00:00:00"/>
    <x v="21"/>
    <s v="AM"/>
    <x v="2"/>
  </r>
  <r>
    <d v="2026-06-03T00:00:00"/>
    <x v="1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28"/>
    <s v="AM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3"/>
    <s v="AM"/>
    <x v="2"/>
  </r>
  <r>
    <d v="2026-06-03T00:00:00"/>
    <x v="34"/>
    <s v="AM"/>
    <x v="2"/>
  </r>
  <r>
    <d v="2026-06-03T00:00:00"/>
    <x v="12"/>
    <s v="AM"/>
    <x v="2"/>
  </r>
  <r>
    <d v="2026-06-03T00:00:00"/>
    <x v="35"/>
    <s v="AM"/>
    <x v="2"/>
  </r>
  <r>
    <d v="2026-06-03T00:00:00"/>
    <x v="37"/>
    <s v="DAY"/>
    <x v="2"/>
  </r>
  <r>
    <d v="2026-06-03T00:00:00"/>
    <x v="38"/>
    <s v="AM"/>
    <x v="2"/>
  </r>
  <r>
    <d v="2026-06-03T00:00:00"/>
    <x v="13"/>
    <s v="AM"/>
    <x v="2"/>
  </r>
  <r>
    <d v="2026-06-03T00:00:00"/>
    <x v="4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5"/>
    <s v="DAY"/>
    <x v="2"/>
  </r>
  <r>
    <d v="2026-06-03T00:00:00"/>
    <x v="46"/>
    <s v="MI-TEMPS"/>
    <x v="2"/>
  </r>
  <r>
    <d v="2026-06-03T00:00:00"/>
    <x v="47"/>
    <s v="AM"/>
    <x v="2"/>
  </r>
  <r>
    <d v="2026-06-03T00:00:00"/>
    <x v="108"/>
    <s v="AM"/>
    <x v="2"/>
  </r>
  <r>
    <d v="2026-06-03T00:00:00"/>
    <x v="48"/>
    <s v="MI-TEMPS"/>
    <x v="2"/>
  </r>
  <r>
    <d v="2026-06-03T00:00:00"/>
    <x v="49"/>
    <s v="AM"/>
    <x v="2"/>
  </r>
  <r>
    <d v="2026-06-03T00:00:00"/>
    <x v="123"/>
    <s v="AM"/>
    <x v="2"/>
  </r>
  <r>
    <d v="2026-06-03T00:00:00"/>
    <x v="5"/>
    <s v="AM"/>
    <x v="2"/>
  </r>
  <r>
    <d v="2026-06-03T00:00:00"/>
    <x v="7"/>
    <s v="AM"/>
    <x v="2"/>
  </r>
  <r>
    <d v="2026-06-03T00:00:00"/>
    <x v="9"/>
    <s v="AM"/>
    <x v="2"/>
  </r>
  <r>
    <d v="2026-06-03T00:00:00"/>
    <x v="51"/>
    <s v="DAY"/>
    <x v="2"/>
  </r>
  <r>
    <d v="2026-06-03T00:00:00"/>
    <x v="126"/>
    <s v="AM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134"/>
    <s v="PM"/>
    <x v="0"/>
  </r>
  <r>
    <d v="2026-06-03T00:00:00"/>
    <x v="142"/>
    <s v="PM"/>
    <x v="0"/>
  </r>
  <r>
    <d v="2026-06-03T00:00:00"/>
    <x v="144"/>
    <s v="PM"/>
    <x v="0"/>
  </r>
  <r>
    <d v="2026-06-03T00:00:00"/>
    <x v="145"/>
    <s v="PM"/>
    <x v="0"/>
  </r>
  <r>
    <d v="2026-06-03T00:00:00"/>
    <x v="146"/>
    <s v="PM"/>
    <x v="0"/>
  </r>
  <r>
    <d v="2026-06-03T00:00:00"/>
    <x v="138"/>
    <s v="PM"/>
    <x v="0"/>
  </r>
  <r>
    <d v="2026-06-03T00:00:00"/>
    <x v="139"/>
    <s v="PM"/>
    <x v="0"/>
  </r>
  <r>
    <d v="2026-06-03T00:00:00"/>
    <x v="149"/>
    <s v="PM"/>
    <x v="0"/>
  </r>
  <r>
    <d v="2026-06-03T00:00:00"/>
    <x v="150"/>
    <s v="PM"/>
    <x v="0"/>
  </r>
  <r>
    <d v="2026-06-03T00:00:00"/>
    <x v="131"/>
    <s v="PM"/>
    <x v="0"/>
  </r>
  <r>
    <d v="2026-06-03T00:00:00"/>
    <x v="133"/>
    <s v="PM"/>
    <x v="1"/>
  </r>
  <r>
    <d v="2026-06-03T00:00:00"/>
    <x v="136"/>
    <s v="PM"/>
    <x v="1"/>
  </r>
  <r>
    <d v="2026-06-03T00:00:00"/>
    <x v="66"/>
    <s v="PM"/>
    <x v="1"/>
  </r>
  <r>
    <d v="2026-06-03T00:00:00"/>
    <x v="155"/>
    <s v="PM"/>
    <x v="1"/>
  </r>
  <r>
    <d v="2026-06-03T00:00:00"/>
    <x v="73"/>
    <s v="PM"/>
    <x v="2"/>
  </r>
  <r>
    <d v="2026-06-03T00:00:00"/>
    <x v="59"/>
    <s v="PM"/>
    <x v="2"/>
  </r>
  <r>
    <d v="2026-06-03T00:00:00"/>
    <x v="75"/>
    <s v="PM"/>
    <x v="2"/>
  </r>
  <r>
    <d v="2026-06-03T00:00:00"/>
    <x v="60"/>
    <s v="PM"/>
    <x v="2"/>
  </r>
  <r>
    <d v="2026-06-03T00:00:00"/>
    <x v="77"/>
    <s v="PM"/>
    <x v="2"/>
  </r>
  <r>
    <d v="2026-06-03T00:00:00"/>
    <x v="79"/>
    <s v="PM"/>
    <x v="2"/>
  </r>
  <r>
    <d v="2026-06-03T00:00:00"/>
    <x v="61"/>
    <s v="PM"/>
    <x v="2"/>
  </r>
  <r>
    <d v="2026-06-03T00:00:00"/>
    <x v="80"/>
    <s v="PM"/>
    <x v="2"/>
  </r>
  <r>
    <d v="2026-06-03T00:00:00"/>
    <x v="81"/>
    <s v="PM"/>
    <x v="2"/>
  </r>
  <r>
    <d v="2026-06-03T00:00:00"/>
    <x v="82"/>
    <s v="PM"/>
    <x v="2"/>
  </r>
  <r>
    <d v="2026-06-03T00:00:00"/>
    <x v="63"/>
    <s v="PM"/>
    <x v="2"/>
  </r>
  <r>
    <d v="2026-06-03T00:00:00"/>
    <x v="64"/>
    <s v="PM"/>
    <x v="2"/>
  </r>
  <r>
    <d v="2026-06-03T00:00:00"/>
    <x v="65"/>
    <s v="PM"/>
    <x v="2"/>
  </r>
  <r>
    <d v="2026-06-03T00:00:00"/>
    <x v="84"/>
    <s v="PM"/>
    <x v="2"/>
  </r>
  <r>
    <d v="2026-06-03T00:00:00"/>
    <x v="87"/>
    <s v="PM"/>
    <x v="2"/>
  </r>
  <r>
    <d v="2026-06-03T00:00:00"/>
    <x v="89"/>
    <s v="PM"/>
    <x v="2"/>
  </r>
  <r>
    <d v="2026-06-03T00:00:00"/>
    <x v="90"/>
    <s v="PM"/>
    <x v="2"/>
  </r>
  <r>
    <d v="2026-06-03T00:00:00"/>
    <x v="69"/>
    <s v="PM"/>
    <x v="2"/>
  </r>
  <r>
    <d v="2026-06-03T00:00:00"/>
    <x v="91"/>
    <s v="PM"/>
    <x v="2"/>
  </r>
  <r>
    <d v="2026-06-03T00:00:00"/>
    <x v="70"/>
    <s v="PM"/>
    <x v="2"/>
  </r>
  <r>
    <d v="2026-06-03T00:00:00"/>
    <x v="71"/>
    <s v="PM"/>
    <x v="2"/>
  </r>
  <r>
    <d v="2026-06-03T00:00:00"/>
    <x v="68"/>
    <s v="PM"/>
    <x v="2"/>
  </r>
  <r>
    <d v="2026-06-03T00:00:00"/>
    <x v="72"/>
    <s v="PM"/>
    <x v="2"/>
  </r>
  <r>
    <d v="2026-06-03T00:00:00"/>
    <x v="154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39"/>
    <s v="AM"/>
    <x v="4"/>
  </r>
  <r>
    <d v="2026-06-03T00:00:00"/>
    <x v="40"/>
    <s v="AM"/>
    <x v="5"/>
  </r>
  <r>
    <d v="2026-06-03T00:00:00"/>
    <x v="25"/>
    <s v="MI-TEMPS"/>
    <x v="6"/>
  </r>
  <r>
    <d v="2026-06-03T00:00:00"/>
    <x v="27"/>
    <s v="MI-TEMPS"/>
    <x v="6"/>
  </r>
  <r>
    <d v="2026-06-03T00:00:00"/>
    <x v="29"/>
    <s v="AM"/>
    <x v="6"/>
  </r>
  <r>
    <d v="2026-06-03T00:00:00"/>
    <x v="36"/>
    <s v="AM"/>
    <x v="6"/>
  </r>
  <r>
    <d v="2026-06-03T00:00:00"/>
    <x v="8"/>
    <s v="AM"/>
    <x v="6"/>
  </r>
  <r>
    <d v="2026-06-03T00:00:00"/>
    <x v="52"/>
    <s v="AM"/>
    <x v="6"/>
  </r>
  <r>
    <d v="2026-06-03T00:00:00"/>
    <x v="14"/>
    <s v="AM"/>
    <x v="7"/>
  </r>
  <r>
    <d v="2026-06-03T00:00:00"/>
    <x v="110"/>
    <s v="AM"/>
    <x v="7"/>
  </r>
  <r>
    <d v="2026-06-03T00:00:00"/>
    <x v="18"/>
    <s v="AM"/>
    <x v="7"/>
  </r>
  <r>
    <d v="2026-06-03T00:00:00"/>
    <x v="19"/>
    <s v="AM"/>
    <x v="7"/>
  </r>
  <r>
    <d v="2026-06-03T00:00:00"/>
    <x v="20"/>
    <s v="AM"/>
    <x v="7"/>
  </r>
  <r>
    <d v="2026-06-03T00:00:00"/>
    <x v="22"/>
    <s v="AM"/>
    <x v="7"/>
  </r>
  <r>
    <d v="2026-06-03T00:00:00"/>
    <x v="115"/>
    <s v="AM"/>
    <x v="7"/>
  </r>
  <r>
    <d v="2026-06-03T00:00:00"/>
    <x v="116"/>
    <s v="AM"/>
    <x v="7"/>
  </r>
  <r>
    <d v="2026-06-03T00:00:00"/>
    <x v="117"/>
    <s v="AM"/>
    <x v="7"/>
  </r>
  <r>
    <d v="2026-06-03T00:00:00"/>
    <x v="33"/>
    <s v="AM"/>
    <x v="7"/>
  </r>
  <r>
    <d v="2026-06-03T00:00:00"/>
    <x v="120"/>
    <s v="AM"/>
    <x v="7"/>
  </r>
  <r>
    <d v="2026-06-03T00:00:00"/>
    <x v="41"/>
    <s v="AM"/>
    <x v="7"/>
  </r>
  <r>
    <d v="2026-06-03T00:00:00"/>
    <x v="44"/>
    <s v="MI-TEMPS"/>
    <x v="7"/>
  </r>
  <r>
    <d v="2026-06-03T00:00:00"/>
    <x v="107"/>
    <s v="AM"/>
    <x v="7"/>
  </r>
  <r>
    <d v="2026-06-03T00:00:00"/>
    <x v="102"/>
    <s v="AM"/>
    <x v="7"/>
  </r>
  <r>
    <d v="2026-06-03T00:00:00"/>
    <x v="50"/>
    <s v="AM"/>
    <x v="7"/>
  </r>
  <r>
    <d v="2026-06-03T00:00:00"/>
    <x v="109"/>
    <s v="AM"/>
    <x v="7"/>
  </r>
  <r>
    <d v="2026-06-03T00:00:00"/>
    <x v="6"/>
    <s v="AM"/>
    <x v="7"/>
  </r>
  <r>
    <d v="2026-06-03T00:00:00"/>
    <x v="124"/>
    <s v="AM"/>
    <x v="7"/>
  </r>
  <r>
    <d v="2026-06-03T00:00:00"/>
    <x v="127"/>
    <s v="AM"/>
    <x v="7"/>
  </r>
  <r>
    <d v="2026-06-03T00:00:00"/>
    <x v="128"/>
    <s v="AM"/>
    <x v="7"/>
  </r>
  <r>
    <d v="2026-06-03T00:00:00"/>
    <x v="76"/>
    <s v="PM"/>
    <x v="4"/>
  </r>
  <r>
    <d v="2026-06-03T00:00:00"/>
    <x v="141"/>
    <s v="PM"/>
    <x v="5"/>
  </r>
  <r>
    <d v="2026-06-03T00:00:00"/>
    <x v="74"/>
    <s v="PM"/>
    <x v="6"/>
  </r>
  <r>
    <d v="2026-06-03T00:00:00"/>
    <x v="78"/>
    <s v="PM"/>
    <x v="6"/>
  </r>
  <r>
    <d v="2026-06-03T00:00:00"/>
    <x v="62"/>
    <s v="PM"/>
    <x v="6"/>
  </r>
  <r>
    <d v="2026-06-03T00:00:00"/>
    <x v="83"/>
    <s v="PM"/>
    <x v="6"/>
  </r>
  <r>
    <d v="2026-06-03T00:00:00"/>
    <x v="85"/>
    <s v="PM"/>
    <x v="6"/>
  </r>
  <r>
    <d v="2026-06-03T00:00:00"/>
    <x v="88"/>
    <s v="PM"/>
    <x v="6"/>
  </r>
  <r>
    <d v="2026-06-03T00:00:00"/>
    <x v="67"/>
    <s v="PM"/>
    <x v="6"/>
  </r>
  <r>
    <d v="2026-06-03T00:00:00"/>
    <x v="95"/>
    <s v="PM"/>
    <x v="6"/>
  </r>
  <r>
    <d v="2026-06-03T00:00:00"/>
    <x v="96"/>
    <s v="PM"/>
    <x v="6"/>
  </r>
  <r>
    <d v="2026-06-03T00:00:00"/>
    <x v="135"/>
    <s v="PM"/>
    <x v="7"/>
  </r>
  <r>
    <d v="2026-06-03T00:00:00"/>
    <x v="143"/>
    <s v="PM"/>
    <x v="7"/>
  </r>
  <r>
    <d v="2026-06-03T00:00:00"/>
    <x v="132"/>
    <s v="PM"/>
    <x v="7"/>
  </r>
  <r>
    <d v="2026-06-03T00:00:00"/>
    <x v="137"/>
    <s v="PM"/>
    <x v="7"/>
  </r>
  <r>
    <d v="2026-06-03T00:00:00"/>
    <x v="147"/>
    <s v="PM"/>
    <x v="7"/>
  </r>
  <r>
    <d v="2026-06-03T00:00:00"/>
    <x v="148"/>
    <s v="PM"/>
    <x v="7"/>
  </r>
  <r>
    <d v="2026-06-03T00:00:00"/>
    <x v="151"/>
    <s v="PM"/>
    <x v="7"/>
  </r>
  <r>
    <d v="2026-06-03T00:00:00"/>
    <x v="86"/>
    <s v="PM"/>
    <x v="7"/>
  </r>
  <r>
    <d v="2026-06-03T00:00:00"/>
    <x v="152"/>
    <s v="PM"/>
    <x v="7"/>
  </r>
  <r>
    <d v="2026-06-03T00:00:00"/>
    <x v="140"/>
    <s v="PM"/>
    <x v="7"/>
  </r>
  <r>
    <d v="2026-06-03T00:00:00"/>
    <x v="92"/>
    <s v="PM"/>
    <x v="7"/>
  </r>
  <r>
    <d v="2026-06-03T00:00:00"/>
    <x v="93"/>
    <s v="PM"/>
    <x v="7"/>
  </r>
  <r>
    <d v="2026-06-03T00:00:00"/>
    <x v="153"/>
    <s v="PM"/>
    <x v="7"/>
  </r>
  <r>
    <d v="2026-06-03T00:00:00"/>
    <x v="94"/>
    <s v="PM"/>
    <x v="7"/>
  </r>
  <r>
    <d v="2026-06-03T00:00:00"/>
    <x v="156"/>
    <s v="PM"/>
    <x v="7"/>
  </r>
  <r>
    <d v="2026-06-03T00:00:00"/>
    <x v="110"/>
    <s v="AM"/>
    <x v="0"/>
  </r>
  <r>
    <d v="2026-06-03T00:00:00"/>
    <x v="105"/>
    <s v="AM"/>
    <x v="0"/>
  </r>
  <r>
    <d v="2026-06-03T00:00:00"/>
    <x v="103"/>
    <s v="AM"/>
    <x v="0"/>
  </r>
  <r>
    <d v="2026-06-03T00:00:00"/>
    <x v="112"/>
    <s v="DAY"/>
    <x v="0"/>
  </r>
  <r>
    <d v="2026-06-03T00:00:00"/>
    <x v="32"/>
    <s v="MI-TEMPS"/>
    <x v="0"/>
  </r>
  <r>
    <d v="2026-06-03T00:00:00"/>
    <x v="121"/>
    <s v="AM"/>
    <x v="0"/>
  </r>
  <r>
    <d v="2026-06-03T00:00:00"/>
    <x v="107"/>
    <s v="AM"/>
    <x v="0"/>
  </r>
  <r>
    <d v="2026-06-03T00:00:00"/>
    <x v="122"/>
    <s v="AM"/>
    <x v="0"/>
  </r>
  <r>
    <d v="2026-06-03T00:00:00"/>
    <x v="123"/>
    <s v="AM"/>
    <x v="0"/>
  </r>
  <r>
    <d v="2026-06-03T00:00:00"/>
    <x v="124"/>
    <s v="AM"/>
    <x v="0"/>
  </r>
  <r>
    <d v="2026-06-03T00:00:00"/>
    <x v="10"/>
    <s v="AM"/>
    <x v="1"/>
  </r>
  <r>
    <d v="2026-06-03T00:00:00"/>
    <x v="111"/>
    <s v="AM"/>
    <x v="1"/>
  </r>
  <r>
    <d v="2026-06-03T00:00:00"/>
    <x v="120"/>
    <s v="AM"/>
    <x v="1"/>
  </r>
  <r>
    <d v="2026-06-03T00:00:00"/>
    <x v="46"/>
    <s v="MI-TEMPS"/>
    <x v="1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19"/>
    <s v="AM"/>
    <x v="2"/>
  </r>
  <r>
    <d v="2026-06-03T00:00:00"/>
    <x v="21"/>
    <s v="AM"/>
    <x v="2"/>
  </r>
  <r>
    <d v="2026-06-03T00:00:00"/>
    <x v="106"/>
    <s v="AM"/>
    <x v="2"/>
  </r>
  <r>
    <d v="2026-06-03T00:00:00"/>
    <x v="1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3"/>
    <s v="AM"/>
    <x v="2"/>
  </r>
  <r>
    <d v="2026-06-03T00:00:00"/>
    <x v="114"/>
    <s v="DAY"/>
    <x v="2"/>
  </r>
  <r>
    <d v="2026-06-03T00:00:00"/>
    <x v="27"/>
    <s v="MI-TEMPS"/>
    <x v="2"/>
  </r>
  <r>
    <d v="2026-06-03T00:00:00"/>
    <x v="28"/>
    <s v="AM"/>
    <x v="2"/>
  </r>
  <r>
    <d v="2026-06-03T00:00:00"/>
    <x v="30"/>
    <s v="DAY"/>
    <x v="2"/>
  </r>
  <r>
    <d v="2026-06-03T00:00:00"/>
    <x v="2"/>
    <s v="AM"/>
    <x v="2"/>
  </r>
  <r>
    <d v="2026-06-03T00:00:00"/>
    <x v="116"/>
    <s v="AM"/>
    <x v="2"/>
  </r>
  <r>
    <d v="2026-06-03T00:00:00"/>
    <x v="118"/>
    <s v="AM"/>
    <x v="2"/>
  </r>
  <r>
    <d v="2026-06-03T00:00:00"/>
    <x v="33"/>
    <s v="AM"/>
    <x v="2"/>
  </r>
  <r>
    <d v="2026-06-03T00:00:00"/>
    <x v="34"/>
    <s v="AM"/>
    <x v="2"/>
  </r>
  <r>
    <d v="2026-06-03T00:00:00"/>
    <x v="12"/>
    <s v="AM"/>
    <x v="2"/>
  </r>
  <r>
    <d v="2026-06-03T00:00:00"/>
    <x v="35"/>
    <s v="AM"/>
    <x v="2"/>
  </r>
  <r>
    <d v="2026-06-03T00:00:00"/>
    <x v="38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4"/>
    <s v="MI-TEMPS"/>
    <x v="2"/>
  </r>
  <r>
    <d v="2026-06-03T00:00:00"/>
    <x v="45"/>
    <s v="DAY"/>
    <x v="2"/>
  </r>
  <r>
    <d v="2026-06-03T00:00:00"/>
    <x v="47"/>
    <s v="AM"/>
    <x v="2"/>
  </r>
  <r>
    <d v="2026-06-03T00:00:00"/>
    <x v="108"/>
    <s v="AM"/>
    <x v="2"/>
  </r>
  <r>
    <d v="2026-06-03T00:00:00"/>
    <x v="102"/>
    <s v="AM"/>
    <x v="2"/>
  </r>
  <r>
    <d v="2026-06-03T00:00:00"/>
    <x v="49"/>
    <s v="AM"/>
    <x v="2"/>
  </r>
  <r>
    <d v="2026-06-03T00:00:00"/>
    <x v="50"/>
    <s v="AM"/>
    <x v="2"/>
  </r>
  <r>
    <d v="2026-06-03T00:00:00"/>
    <x v="5"/>
    <s v="AM"/>
    <x v="2"/>
  </r>
  <r>
    <d v="2026-06-03T00:00:00"/>
    <x v="9"/>
    <s v="AM"/>
    <x v="2"/>
  </r>
  <r>
    <d v="2026-06-03T00:00:00"/>
    <x v="51"/>
    <s v="DAY"/>
    <x v="2"/>
  </r>
  <r>
    <d v="2026-06-03T00:00:00"/>
    <x v="52"/>
    <s v="AM"/>
    <x v="2"/>
  </r>
  <r>
    <d v="2026-06-03T00:00:00"/>
    <x v="125"/>
    <s v="DAY"/>
    <x v="2"/>
  </r>
  <r>
    <d v="2026-06-03T00:00:00"/>
    <x v="126"/>
    <s v="AM"/>
    <x v="2"/>
  </r>
  <r>
    <d v="2026-06-03T00:00:00"/>
    <x v="53"/>
    <s v="MI-TEMPS"/>
    <x v="2"/>
  </r>
  <r>
    <d v="2026-06-03T00:00:00"/>
    <x v="127"/>
    <s v="AM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133"/>
    <s v="PM"/>
    <x v="0"/>
  </r>
  <r>
    <d v="2026-06-03T00:00:00"/>
    <x v="135"/>
    <s v="PM"/>
    <x v="0"/>
  </r>
  <r>
    <d v="2026-06-03T00:00:00"/>
    <x v="143"/>
    <s v="PM"/>
    <x v="0"/>
  </r>
  <r>
    <d v="2026-06-03T00:00:00"/>
    <x v="132"/>
    <s v="PM"/>
    <x v="0"/>
  </r>
  <r>
    <d v="2026-06-03T00:00:00"/>
    <x v="139"/>
    <s v="PM"/>
    <x v="0"/>
  </r>
  <r>
    <d v="2026-06-03T00:00:00"/>
    <x v="140"/>
    <s v="PM"/>
    <x v="0"/>
  </r>
  <r>
    <d v="2026-06-03T00:00:00"/>
    <x v="153"/>
    <s v="PM"/>
    <x v="0"/>
  </r>
  <r>
    <d v="2026-06-03T00:00:00"/>
    <x v="141"/>
    <s v="PM"/>
    <x v="0"/>
  </r>
  <r>
    <d v="2026-06-03T00:00:00"/>
    <x v="155"/>
    <s v="PM"/>
    <x v="0"/>
  </r>
  <r>
    <d v="2026-06-03T00:00:00"/>
    <x v="131"/>
    <s v="PM"/>
    <x v="0"/>
  </r>
  <r>
    <d v="2026-06-03T00:00:00"/>
    <x v="144"/>
    <s v="PM"/>
    <x v="1"/>
  </r>
  <r>
    <d v="2026-06-03T00:00:00"/>
    <x v="145"/>
    <s v="PM"/>
    <x v="1"/>
  </r>
  <r>
    <d v="2026-06-03T00:00:00"/>
    <x v="152"/>
    <s v="PM"/>
    <x v="1"/>
  </r>
  <r>
    <d v="2026-06-03T00:00:00"/>
    <x v="70"/>
    <s v="PM"/>
    <x v="1"/>
  </r>
  <r>
    <d v="2026-06-03T00:00:00"/>
    <x v="75"/>
    <s v="PM"/>
    <x v="2"/>
  </r>
  <r>
    <d v="2026-06-03T00:00:00"/>
    <x v="60"/>
    <s v="PM"/>
    <x v="2"/>
  </r>
  <r>
    <d v="2026-06-03T00:00:00"/>
    <x v="79"/>
    <s v="PM"/>
    <x v="2"/>
  </r>
  <r>
    <d v="2026-06-03T00:00:00"/>
    <x v="61"/>
    <s v="PM"/>
    <x v="2"/>
  </r>
  <r>
    <d v="2026-06-03T00:00:00"/>
    <x v="136"/>
    <s v="PM"/>
    <x v="2"/>
  </r>
  <r>
    <d v="2026-06-03T00:00:00"/>
    <x v="81"/>
    <s v="PM"/>
    <x v="2"/>
  </r>
  <r>
    <d v="2026-06-03T00:00:00"/>
    <x v="82"/>
    <s v="PM"/>
    <x v="2"/>
  </r>
  <r>
    <d v="2026-06-03T00:00:00"/>
    <x v="83"/>
    <s v="PM"/>
    <x v="2"/>
  </r>
  <r>
    <d v="2026-06-03T00:00:00"/>
    <x v="138"/>
    <s v="PM"/>
    <x v="2"/>
  </r>
  <r>
    <d v="2026-06-03T00:00:00"/>
    <x v="63"/>
    <s v="PM"/>
    <x v="2"/>
  </r>
  <r>
    <d v="2026-06-03T00:00:00"/>
    <x v="147"/>
    <s v="PM"/>
    <x v="2"/>
  </r>
  <r>
    <d v="2026-06-03T00:00:00"/>
    <x v="149"/>
    <s v="PM"/>
    <x v="2"/>
  </r>
  <r>
    <d v="2026-06-03T00:00:00"/>
    <x v="150"/>
    <s v="PM"/>
    <x v="2"/>
  </r>
  <r>
    <d v="2026-06-03T00:00:00"/>
    <x v="86"/>
    <s v="PM"/>
    <x v="2"/>
  </r>
  <r>
    <d v="2026-06-03T00:00:00"/>
    <x v="90"/>
    <s v="PM"/>
    <x v="2"/>
  </r>
  <r>
    <d v="2026-06-03T00:00:00"/>
    <x v="91"/>
    <s v="PM"/>
    <x v="2"/>
  </r>
  <r>
    <d v="2026-06-03T00:00:00"/>
    <x v="71"/>
    <s v="PM"/>
    <x v="2"/>
  </r>
  <r>
    <d v="2026-06-03T00:00:00"/>
    <x v="68"/>
    <s v="PM"/>
    <x v="2"/>
  </r>
  <r>
    <d v="2026-06-03T00:00:00"/>
    <x v="93"/>
    <s v="PM"/>
    <x v="2"/>
  </r>
  <r>
    <d v="2026-06-03T00:00:00"/>
    <x v="72"/>
    <s v="PM"/>
    <x v="2"/>
  </r>
  <r>
    <d v="2026-06-03T00:00:00"/>
    <x v="94"/>
    <s v="PM"/>
    <x v="2"/>
  </r>
  <r>
    <d v="2026-06-03T00:00:00"/>
    <x v="154"/>
    <s v="PM"/>
    <x v="2"/>
  </r>
  <r>
    <d v="2026-06-03T00:00:00"/>
    <x v="95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40"/>
    <s v="AM"/>
    <x v="4"/>
  </r>
  <r>
    <d v="2026-06-03T00:00:00"/>
    <x v="6"/>
    <s v="AM"/>
    <x v="5"/>
  </r>
  <r>
    <d v="2026-06-03T00:00:00"/>
    <x v="0"/>
    <s v="AM"/>
    <x v="6"/>
  </r>
  <r>
    <d v="2026-06-03T00:00:00"/>
    <x v="11"/>
    <s v="AM"/>
    <x v="6"/>
  </r>
  <r>
    <d v="2026-06-03T00:00:00"/>
    <x v="31"/>
    <s v="AM"/>
    <x v="6"/>
  </r>
  <r>
    <d v="2026-06-03T00:00:00"/>
    <x v="3"/>
    <s v="AM"/>
    <x v="6"/>
  </r>
  <r>
    <d v="2026-06-03T00:00:00"/>
    <x v="37"/>
    <s v="DAY"/>
    <x v="6"/>
  </r>
  <r>
    <d v="2026-06-03T00:00:00"/>
    <x v="4"/>
    <s v="AM"/>
    <x v="6"/>
  </r>
  <r>
    <d v="2026-06-03T00:00:00"/>
    <x v="14"/>
    <s v="AM"/>
    <x v="7"/>
  </r>
  <r>
    <d v="2026-06-03T00:00:00"/>
    <x v="104"/>
    <s v="AM"/>
    <x v="7"/>
  </r>
  <r>
    <d v="2026-06-03T00:00:00"/>
    <x v="18"/>
    <s v="AM"/>
    <x v="7"/>
  </r>
  <r>
    <d v="2026-06-03T00:00:00"/>
    <x v="20"/>
    <s v="AM"/>
    <x v="7"/>
  </r>
  <r>
    <d v="2026-06-03T00:00:00"/>
    <x v="22"/>
    <s v="AM"/>
    <x v="7"/>
  </r>
  <r>
    <d v="2026-06-03T00:00:00"/>
    <x v="115"/>
    <s v="AM"/>
    <x v="7"/>
  </r>
  <r>
    <d v="2026-06-03T00:00:00"/>
    <x v="29"/>
    <s v="AM"/>
    <x v="7"/>
  </r>
  <r>
    <d v="2026-06-03T00:00:00"/>
    <x v="117"/>
    <s v="AM"/>
    <x v="7"/>
  </r>
  <r>
    <d v="2026-06-03T00:00:00"/>
    <x v="119"/>
    <s v="AM"/>
    <x v="7"/>
  </r>
  <r>
    <d v="2026-06-03T00:00:00"/>
    <x v="36"/>
    <s v="AM"/>
    <x v="7"/>
  </r>
  <r>
    <d v="2026-06-03T00:00:00"/>
    <x v="39"/>
    <s v="AM"/>
    <x v="7"/>
  </r>
  <r>
    <d v="2026-06-03T00:00:00"/>
    <x v="13"/>
    <s v="AM"/>
    <x v="7"/>
  </r>
  <r>
    <d v="2026-06-03T00:00:00"/>
    <x v="43"/>
    <s v="AM"/>
    <x v="7"/>
  </r>
  <r>
    <d v="2026-06-03T00:00:00"/>
    <x v="48"/>
    <s v="MI-TEMPS"/>
    <x v="7"/>
  </r>
  <r>
    <d v="2026-06-03T00:00:00"/>
    <x v="109"/>
    <s v="AM"/>
    <x v="7"/>
  </r>
  <r>
    <d v="2026-06-03T00:00:00"/>
    <x v="7"/>
    <s v="AM"/>
    <x v="7"/>
  </r>
  <r>
    <d v="2026-06-03T00:00:00"/>
    <x v="8"/>
    <s v="AM"/>
    <x v="7"/>
  </r>
  <r>
    <d v="2026-06-03T00:00:00"/>
    <x v="128"/>
    <s v="AM"/>
    <x v="7"/>
  </r>
  <r>
    <d v="2026-06-03T00:00:00"/>
    <x v="129"/>
    <s v="AM"/>
    <x v="7"/>
  </r>
  <r>
    <d v="2026-06-03T00:00:00"/>
    <x v="54"/>
    <s v="DAY"/>
    <x v="7"/>
  </r>
  <r>
    <d v="2026-06-03T00:00:00"/>
    <x v="130"/>
    <s v="AM"/>
    <x v="7"/>
  </r>
  <r>
    <d v="2026-06-03T00:00:00"/>
    <x v="69"/>
    <s v="PM"/>
    <x v="4"/>
  </r>
  <r>
    <d v="2026-06-03T00:00:00"/>
    <x v="92"/>
    <s v="PM"/>
    <x v="5"/>
  </r>
  <r>
    <d v="2026-06-03T00:00:00"/>
    <x v="73"/>
    <s v="PM"/>
    <x v="6"/>
  </r>
  <r>
    <d v="2026-06-03T00:00:00"/>
    <x v="76"/>
    <s v="PM"/>
    <x v="6"/>
  </r>
  <r>
    <d v="2026-06-03T00:00:00"/>
    <x v="77"/>
    <s v="PM"/>
    <x v="6"/>
  </r>
  <r>
    <d v="2026-06-03T00:00:00"/>
    <x v="78"/>
    <s v="PM"/>
    <x v="6"/>
  </r>
  <r>
    <d v="2026-06-03T00:00:00"/>
    <x v="80"/>
    <s v="PM"/>
    <x v="6"/>
  </r>
  <r>
    <d v="2026-06-03T00:00:00"/>
    <x v="64"/>
    <s v="PM"/>
    <x v="6"/>
  </r>
  <r>
    <d v="2026-06-03T00:00:00"/>
    <x v="84"/>
    <s v="PM"/>
    <x v="6"/>
  </r>
  <r>
    <d v="2026-06-03T00:00:00"/>
    <x v="66"/>
    <s v="PM"/>
    <x v="6"/>
  </r>
  <r>
    <d v="2026-06-03T00:00:00"/>
    <x v="89"/>
    <s v="PM"/>
    <x v="6"/>
  </r>
  <r>
    <d v="2026-06-03T00:00:00"/>
    <x v="74"/>
    <s v="PM"/>
    <x v="7"/>
  </r>
  <r>
    <d v="2026-06-03T00:00:00"/>
    <x v="59"/>
    <s v="PM"/>
    <x v="7"/>
  </r>
  <r>
    <d v="2026-06-03T00:00:00"/>
    <x v="134"/>
    <s v="PM"/>
    <x v="7"/>
  </r>
  <r>
    <d v="2026-06-03T00:00:00"/>
    <x v="142"/>
    <s v="PM"/>
    <x v="7"/>
  </r>
  <r>
    <d v="2026-06-03T00:00:00"/>
    <x v="62"/>
    <s v="PM"/>
    <x v="7"/>
  </r>
  <r>
    <d v="2026-06-03T00:00:00"/>
    <x v="137"/>
    <s v="PM"/>
    <x v="7"/>
  </r>
  <r>
    <d v="2026-06-03T00:00:00"/>
    <x v="146"/>
    <s v="PM"/>
    <x v="7"/>
  </r>
  <r>
    <d v="2026-06-03T00:00:00"/>
    <x v="148"/>
    <s v="PM"/>
    <x v="7"/>
  </r>
  <r>
    <d v="2026-06-03T00:00:00"/>
    <x v="65"/>
    <s v="PM"/>
    <x v="7"/>
  </r>
  <r>
    <d v="2026-06-03T00:00:00"/>
    <x v="151"/>
    <s v="PM"/>
    <x v="7"/>
  </r>
  <r>
    <d v="2026-06-03T00:00:00"/>
    <x v="85"/>
    <s v="PM"/>
    <x v="7"/>
  </r>
  <r>
    <d v="2026-06-03T00:00:00"/>
    <x v="87"/>
    <s v="PM"/>
    <x v="7"/>
  </r>
  <r>
    <d v="2026-06-03T00:00:00"/>
    <x v="88"/>
    <s v="PM"/>
    <x v="7"/>
  </r>
  <r>
    <d v="2026-06-03T00:00:00"/>
    <x v="67"/>
    <s v="PM"/>
    <x v="7"/>
  </r>
  <r>
    <d v="2026-06-03T00:00:00"/>
    <x v="156"/>
    <s v="PM"/>
    <x v="7"/>
  </r>
  <r>
    <d v="2026-06-03T00:00:00"/>
    <x v="111"/>
    <s v="AM"/>
    <x v="0"/>
  </r>
  <r>
    <d v="2026-06-03T00:00:00"/>
    <x v="113"/>
    <s v="AM"/>
    <x v="0"/>
  </r>
  <r>
    <d v="2026-06-03T00:00:00"/>
    <x v="117"/>
    <s v="AM"/>
    <x v="0"/>
  </r>
  <r>
    <d v="2026-06-03T00:00:00"/>
    <x v="118"/>
    <s v="AM"/>
    <x v="0"/>
  </r>
  <r>
    <d v="2026-06-03T00:00:00"/>
    <x v="108"/>
    <s v="AM"/>
    <x v="0"/>
  </r>
  <r>
    <d v="2026-06-03T00:00:00"/>
    <x v="102"/>
    <s v="AM"/>
    <x v="0"/>
  </r>
  <r>
    <d v="2026-06-03T00:00:00"/>
    <x v="109"/>
    <s v="AM"/>
    <x v="0"/>
  </r>
  <r>
    <d v="2026-06-03T00:00:00"/>
    <x v="51"/>
    <s v="DAY"/>
    <x v="0"/>
  </r>
  <r>
    <d v="2026-06-03T00:00:00"/>
    <x v="126"/>
    <s v="AM"/>
    <x v="0"/>
  </r>
  <r>
    <d v="2026-06-03T00:00:00"/>
    <x v="53"/>
    <s v="MI-TEMPS"/>
    <x v="0"/>
  </r>
  <r>
    <d v="2026-06-03T00:00:00"/>
    <x v="112"/>
    <s v="DAY"/>
    <x v="1"/>
  </r>
  <r>
    <d v="2026-06-03T00:00:00"/>
    <x v="121"/>
    <s v="AM"/>
    <x v="1"/>
  </r>
  <r>
    <d v="2026-06-03T00:00:00"/>
    <x v="8"/>
    <s v="AM"/>
    <x v="1"/>
  </r>
  <r>
    <d v="2026-06-03T00:00:00"/>
    <x v="129"/>
    <s v="AM"/>
    <x v="1"/>
  </r>
  <r>
    <d v="2026-06-03T00:00:00"/>
    <x v="14"/>
    <s v="AM"/>
    <x v="2"/>
  </r>
  <r>
    <d v="2026-06-03T00:00:00"/>
    <x v="0"/>
    <s v="AM"/>
    <x v="2"/>
  </r>
  <r>
    <d v="2026-06-03T00:00:00"/>
    <x v="16"/>
    <s v="DAY"/>
    <x v="2"/>
  </r>
  <r>
    <d v="2026-06-03T00:00:00"/>
    <x v="17"/>
    <s v="AM"/>
    <x v="2"/>
  </r>
  <r>
    <d v="2026-06-03T00:00:00"/>
    <x v="110"/>
    <s v="AM"/>
    <x v="2"/>
  </r>
  <r>
    <d v="2026-06-03T00:00:00"/>
    <x v="103"/>
    <s v="AM"/>
    <x v="2"/>
  </r>
  <r>
    <d v="2026-06-03T00:00:00"/>
    <x v="106"/>
    <s v="AM"/>
    <x v="2"/>
  </r>
  <r>
    <d v="2026-06-03T00:00:00"/>
    <x v="1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27"/>
    <s v="MI-TEMPS"/>
    <x v="2"/>
  </r>
  <r>
    <d v="2026-06-03T00:00:00"/>
    <x v="28"/>
    <s v="AM"/>
    <x v="2"/>
  </r>
  <r>
    <d v="2026-06-03T00:00:00"/>
    <x v="29"/>
    <s v="AM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116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4"/>
    <s v="AM"/>
    <x v="2"/>
  </r>
  <r>
    <d v="2026-06-03T00:00:00"/>
    <x v="12"/>
    <s v="AM"/>
    <x v="2"/>
  </r>
  <r>
    <d v="2026-06-03T00:00:00"/>
    <x v="35"/>
    <s v="AM"/>
    <x v="2"/>
  </r>
  <r>
    <d v="2026-06-03T00:00:00"/>
    <x v="37"/>
    <s v="DAY"/>
    <x v="2"/>
  </r>
  <r>
    <d v="2026-06-03T00:00:00"/>
    <x v="39"/>
    <s v="AM"/>
    <x v="2"/>
  </r>
  <r>
    <d v="2026-06-03T00:00:00"/>
    <x v="40"/>
    <s v="AM"/>
    <x v="2"/>
  </r>
  <r>
    <d v="2026-06-03T00:00:00"/>
    <x v="4"/>
    <s v="AM"/>
    <x v="2"/>
  </r>
  <r>
    <d v="2026-06-03T00:00:00"/>
    <x v="42"/>
    <s v="MI-TEMPS"/>
    <x v="2"/>
  </r>
  <r>
    <d v="2026-06-03T00:00:00"/>
    <x v="44"/>
    <s v="MI-TEMPS"/>
    <x v="2"/>
  </r>
  <r>
    <d v="2026-06-03T00:00:00"/>
    <x v="45"/>
    <s v="DAY"/>
    <x v="2"/>
  </r>
  <r>
    <d v="2026-06-03T00:00:00"/>
    <x v="107"/>
    <s v="AM"/>
    <x v="2"/>
  </r>
  <r>
    <d v="2026-06-03T00:00:00"/>
    <x v="47"/>
    <s v="AM"/>
    <x v="2"/>
  </r>
  <r>
    <d v="2026-06-03T00:00:00"/>
    <x v="49"/>
    <s v="AM"/>
    <x v="2"/>
  </r>
  <r>
    <d v="2026-06-03T00:00:00"/>
    <x v="50"/>
    <s v="AM"/>
    <x v="2"/>
  </r>
  <r>
    <d v="2026-06-03T00:00:00"/>
    <x v="6"/>
    <s v="AM"/>
    <x v="2"/>
  </r>
  <r>
    <d v="2026-06-03T00:00:00"/>
    <x v="52"/>
    <s v="AM"/>
    <x v="2"/>
  </r>
  <r>
    <d v="2026-06-03T00:00:00"/>
    <x v="125"/>
    <s v="DAY"/>
    <x v="2"/>
  </r>
  <r>
    <d v="2026-06-03T00:00:00"/>
    <x v="127"/>
    <s v="AM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134"/>
    <s v="PM"/>
    <x v="0"/>
  </r>
  <r>
    <d v="2026-06-03T00:00:00"/>
    <x v="143"/>
    <s v="PM"/>
    <x v="0"/>
  </r>
  <r>
    <d v="2026-06-03T00:00:00"/>
    <x v="137"/>
    <s v="PM"/>
    <x v="0"/>
  </r>
  <r>
    <d v="2026-06-03T00:00:00"/>
    <x v="148"/>
    <s v="PM"/>
    <x v="0"/>
  </r>
  <r>
    <d v="2026-06-03T00:00:00"/>
    <x v="149"/>
    <s v="PM"/>
    <x v="0"/>
  </r>
  <r>
    <d v="2026-06-03T00:00:00"/>
    <x v="151"/>
    <s v="PM"/>
    <x v="0"/>
  </r>
  <r>
    <d v="2026-06-03T00:00:00"/>
    <x v="152"/>
    <s v="PM"/>
    <x v="0"/>
  </r>
  <r>
    <d v="2026-06-03T00:00:00"/>
    <x v="153"/>
    <s v="PM"/>
    <x v="0"/>
  </r>
  <r>
    <d v="2026-06-03T00:00:00"/>
    <x v="154"/>
    <s v="PM"/>
    <x v="0"/>
  </r>
  <r>
    <d v="2026-06-03T00:00:00"/>
    <x v="141"/>
    <s v="PM"/>
    <x v="0"/>
  </r>
  <r>
    <d v="2026-06-03T00:00:00"/>
    <x v="78"/>
    <s v="PM"/>
    <x v="1"/>
  </r>
  <r>
    <d v="2026-06-03T00:00:00"/>
    <x v="138"/>
    <s v="PM"/>
    <x v="1"/>
  </r>
  <r>
    <d v="2026-06-03T00:00:00"/>
    <x v="155"/>
    <s v="PM"/>
    <x v="1"/>
  </r>
  <r>
    <d v="2026-06-03T00:00:00"/>
    <x v="131"/>
    <s v="PM"/>
    <x v="1"/>
  </r>
  <r>
    <d v="2026-06-03T00:00:00"/>
    <x v="59"/>
    <s v="PM"/>
    <x v="2"/>
  </r>
  <r>
    <d v="2026-06-03T00:00:00"/>
    <x v="60"/>
    <s v="PM"/>
    <x v="2"/>
  </r>
  <r>
    <d v="2026-06-03T00:00:00"/>
    <x v="76"/>
    <s v="PM"/>
    <x v="2"/>
  </r>
  <r>
    <d v="2026-06-03T00:00:00"/>
    <x v="77"/>
    <s v="PM"/>
    <x v="2"/>
  </r>
  <r>
    <d v="2026-06-03T00:00:00"/>
    <x v="61"/>
    <s v="PM"/>
    <x v="2"/>
  </r>
  <r>
    <d v="2026-06-03T00:00:00"/>
    <x v="80"/>
    <s v="PM"/>
    <x v="2"/>
  </r>
  <r>
    <d v="2026-06-03T00:00:00"/>
    <x v="144"/>
    <s v="PM"/>
    <x v="2"/>
  </r>
  <r>
    <d v="2026-06-03T00:00:00"/>
    <x v="82"/>
    <s v="PM"/>
    <x v="2"/>
  </r>
  <r>
    <d v="2026-06-03T00:00:00"/>
    <x v="83"/>
    <s v="PM"/>
    <x v="2"/>
  </r>
  <r>
    <d v="2026-06-03T00:00:00"/>
    <x v="64"/>
    <s v="PM"/>
    <x v="2"/>
  </r>
  <r>
    <d v="2026-06-03T00:00:00"/>
    <x v="65"/>
    <s v="PM"/>
    <x v="2"/>
  </r>
  <r>
    <d v="2026-06-03T00:00:00"/>
    <x v="84"/>
    <s v="PM"/>
    <x v="2"/>
  </r>
  <r>
    <d v="2026-06-03T00:00:00"/>
    <x v="85"/>
    <s v="PM"/>
    <x v="2"/>
  </r>
  <r>
    <d v="2026-06-03T00:00:00"/>
    <x v="66"/>
    <s v="PM"/>
    <x v="2"/>
  </r>
  <r>
    <d v="2026-06-03T00:00:00"/>
    <x v="89"/>
    <s v="PM"/>
    <x v="2"/>
  </r>
  <r>
    <d v="2026-06-03T00:00:00"/>
    <x v="90"/>
    <s v="PM"/>
    <x v="2"/>
  </r>
  <r>
    <d v="2026-06-03T00:00:00"/>
    <x v="70"/>
    <s v="PM"/>
    <x v="2"/>
  </r>
  <r>
    <d v="2026-06-03T00:00:00"/>
    <x v="71"/>
    <s v="PM"/>
    <x v="2"/>
  </r>
  <r>
    <d v="2026-06-03T00:00:00"/>
    <x v="68"/>
    <s v="PM"/>
    <x v="2"/>
  </r>
  <r>
    <d v="2026-06-03T00:00:00"/>
    <x v="92"/>
    <s v="PM"/>
    <x v="2"/>
  </r>
  <r>
    <d v="2026-06-03T00:00:00"/>
    <x v="72"/>
    <s v="PM"/>
    <x v="2"/>
  </r>
  <r>
    <d v="2026-06-03T00:00:00"/>
    <x v="94"/>
    <s v="PM"/>
    <x v="2"/>
  </r>
  <r>
    <d v="2026-06-03T00:00:00"/>
    <x v="95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5"/>
    <s v="AM"/>
    <x v="4"/>
  </r>
  <r>
    <d v="2026-06-03T00:00:00"/>
    <x v="104"/>
    <s v="AM"/>
    <x v="5"/>
  </r>
  <r>
    <d v="2026-06-03T00:00:00"/>
    <x v="10"/>
    <s v="AM"/>
    <x v="6"/>
  </r>
  <r>
    <d v="2026-06-03T00:00:00"/>
    <x v="18"/>
    <s v="AM"/>
    <x v="6"/>
  </r>
  <r>
    <d v="2026-06-03T00:00:00"/>
    <x v="21"/>
    <s v="AM"/>
    <x v="6"/>
  </r>
  <r>
    <d v="2026-06-03T00:00:00"/>
    <x v="13"/>
    <s v="AM"/>
    <x v="6"/>
  </r>
  <r>
    <d v="2026-06-03T00:00:00"/>
    <x v="41"/>
    <s v="AM"/>
    <x v="6"/>
  </r>
  <r>
    <d v="2026-06-03T00:00:00"/>
    <x v="46"/>
    <s v="MI-TEMPS"/>
    <x v="6"/>
  </r>
  <r>
    <d v="2026-06-03T00:00:00"/>
    <x v="105"/>
    <s v="AM"/>
    <x v="7"/>
  </r>
  <r>
    <d v="2026-06-03T00:00:00"/>
    <x v="19"/>
    <s v="AM"/>
    <x v="7"/>
  </r>
  <r>
    <d v="2026-06-03T00:00:00"/>
    <x v="20"/>
    <s v="AM"/>
    <x v="7"/>
  </r>
  <r>
    <d v="2026-06-03T00:00:00"/>
    <x v="22"/>
    <s v="AM"/>
    <x v="7"/>
  </r>
  <r>
    <d v="2026-06-03T00:00:00"/>
    <x v="114"/>
    <s v="DAY"/>
    <x v="7"/>
  </r>
  <r>
    <d v="2026-06-03T00:00:00"/>
    <x v="115"/>
    <s v="AM"/>
    <x v="7"/>
  </r>
  <r>
    <d v="2026-06-03T00:00:00"/>
    <x v="3"/>
    <s v="AM"/>
    <x v="7"/>
  </r>
  <r>
    <d v="2026-06-03T00:00:00"/>
    <x v="119"/>
    <s v="AM"/>
    <x v="7"/>
  </r>
  <r>
    <d v="2026-06-03T00:00:00"/>
    <x v="120"/>
    <s v="AM"/>
    <x v="7"/>
  </r>
  <r>
    <d v="2026-06-03T00:00:00"/>
    <x v="36"/>
    <s v="AM"/>
    <x v="7"/>
  </r>
  <r>
    <d v="2026-06-03T00:00:00"/>
    <x v="38"/>
    <s v="AM"/>
    <x v="7"/>
  </r>
  <r>
    <d v="2026-06-03T00:00:00"/>
    <x v="43"/>
    <s v="AM"/>
    <x v="7"/>
  </r>
  <r>
    <d v="2026-06-03T00:00:00"/>
    <x v="122"/>
    <s v="AM"/>
    <x v="7"/>
  </r>
  <r>
    <d v="2026-06-03T00:00:00"/>
    <x v="48"/>
    <s v="MI-TEMPS"/>
    <x v="7"/>
  </r>
  <r>
    <d v="2026-06-03T00:00:00"/>
    <x v="123"/>
    <s v="AM"/>
    <x v="7"/>
  </r>
  <r>
    <d v="2026-06-03T00:00:00"/>
    <x v="5"/>
    <s v="AM"/>
    <x v="7"/>
  </r>
  <r>
    <d v="2026-06-03T00:00:00"/>
    <x v="7"/>
    <s v="AM"/>
    <x v="7"/>
  </r>
  <r>
    <d v="2026-06-03T00:00:00"/>
    <x v="124"/>
    <s v="AM"/>
    <x v="7"/>
  </r>
  <r>
    <d v="2026-06-03T00:00:00"/>
    <x v="9"/>
    <s v="AM"/>
    <x v="7"/>
  </r>
  <r>
    <d v="2026-06-03T00:00:00"/>
    <x v="128"/>
    <s v="AM"/>
    <x v="7"/>
  </r>
  <r>
    <d v="2026-06-03T00:00:00"/>
    <x v="130"/>
    <s v="AM"/>
    <x v="7"/>
  </r>
  <r>
    <d v="2026-06-03T00:00:00"/>
    <x v="74"/>
    <s v="PM"/>
    <x v="4"/>
  </r>
  <r>
    <d v="2026-06-03T00:00:00"/>
    <x v="91"/>
    <s v="PM"/>
    <x v="5"/>
  </r>
  <r>
    <d v="2026-06-03T00:00:00"/>
    <x v="73"/>
    <s v="PM"/>
    <x v="6"/>
  </r>
  <r>
    <d v="2026-06-03T00:00:00"/>
    <x v="75"/>
    <s v="PM"/>
    <x v="6"/>
  </r>
  <r>
    <d v="2026-06-03T00:00:00"/>
    <x v="79"/>
    <s v="PM"/>
    <x v="6"/>
  </r>
  <r>
    <d v="2026-06-03T00:00:00"/>
    <x v="81"/>
    <s v="PM"/>
    <x v="6"/>
  </r>
  <r>
    <d v="2026-06-03T00:00:00"/>
    <x v="62"/>
    <s v="PM"/>
    <x v="6"/>
  </r>
  <r>
    <d v="2026-06-03T00:00:00"/>
    <x v="63"/>
    <s v="PM"/>
    <x v="6"/>
  </r>
  <r>
    <d v="2026-06-03T00:00:00"/>
    <x v="86"/>
    <s v="PM"/>
    <x v="6"/>
  </r>
  <r>
    <d v="2026-06-03T00:00:00"/>
    <x v="88"/>
    <s v="PM"/>
    <x v="6"/>
  </r>
  <r>
    <d v="2026-06-03T00:00:00"/>
    <x v="69"/>
    <s v="PM"/>
    <x v="6"/>
  </r>
  <r>
    <d v="2026-06-03T00:00:00"/>
    <x v="133"/>
    <s v="PM"/>
    <x v="7"/>
  </r>
  <r>
    <d v="2026-06-03T00:00:00"/>
    <x v="135"/>
    <s v="PM"/>
    <x v="7"/>
  </r>
  <r>
    <d v="2026-06-03T00:00:00"/>
    <x v="142"/>
    <s v="PM"/>
    <x v="7"/>
  </r>
  <r>
    <d v="2026-06-03T00:00:00"/>
    <x v="132"/>
    <s v="PM"/>
    <x v="7"/>
  </r>
  <r>
    <d v="2026-06-03T00:00:00"/>
    <x v="136"/>
    <s v="PM"/>
    <x v="7"/>
  </r>
  <r>
    <d v="2026-06-03T00:00:00"/>
    <x v="145"/>
    <s v="PM"/>
    <x v="7"/>
  </r>
  <r>
    <d v="2026-06-03T00:00:00"/>
    <x v="146"/>
    <s v="PM"/>
    <x v="7"/>
  </r>
  <r>
    <d v="2026-06-03T00:00:00"/>
    <x v="147"/>
    <s v="PM"/>
    <x v="7"/>
  </r>
  <r>
    <d v="2026-06-03T00:00:00"/>
    <x v="139"/>
    <s v="PM"/>
    <x v="7"/>
  </r>
  <r>
    <d v="2026-06-03T00:00:00"/>
    <x v="150"/>
    <s v="PM"/>
    <x v="7"/>
  </r>
  <r>
    <d v="2026-06-03T00:00:00"/>
    <x v="87"/>
    <s v="PM"/>
    <x v="7"/>
  </r>
  <r>
    <d v="2026-06-03T00:00:00"/>
    <x v="67"/>
    <s v="PM"/>
    <x v="7"/>
  </r>
  <r>
    <d v="2026-06-03T00:00:00"/>
    <x v="140"/>
    <s v="PM"/>
    <x v="7"/>
  </r>
  <r>
    <d v="2026-06-03T00:00:00"/>
    <x v="93"/>
    <s v="PM"/>
    <x v="7"/>
  </r>
  <r>
    <d v="2026-06-03T00:00:00"/>
    <x v="156"/>
    <s v="PM"/>
    <x v="7"/>
  </r>
  <r>
    <d v="2026-06-03T00:00:00"/>
    <x v="104"/>
    <s v="AM"/>
    <x v="0"/>
  </r>
  <r>
    <d v="2026-06-03T00:00:00"/>
    <x v="110"/>
    <s v="AM"/>
    <x v="0"/>
  </r>
  <r>
    <d v="2026-06-03T00:00:00"/>
    <x v="106"/>
    <s v="AM"/>
    <x v="0"/>
  </r>
  <r>
    <d v="2026-06-03T00:00:00"/>
    <x v="117"/>
    <s v="AM"/>
    <x v="0"/>
  </r>
  <r>
    <d v="2026-06-03T00:00:00"/>
    <x v="121"/>
    <s v="AM"/>
    <x v="0"/>
  </r>
  <r>
    <d v="2026-06-03T00:00:00"/>
    <x v="107"/>
    <s v="AM"/>
    <x v="0"/>
  </r>
  <r>
    <d v="2026-06-03T00:00:00"/>
    <x v="46"/>
    <s v="MI-TEMPS"/>
    <x v="0"/>
  </r>
  <r>
    <d v="2026-06-03T00:00:00"/>
    <x v="109"/>
    <s v="AM"/>
    <x v="0"/>
  </r>
  <r>
    <d v="2026-06-03T00:00:00"/>
    <x v="124"/>
    <s v="AM"/>
    <x v="0"/>
  </r>
  <r>
    <d v="2026-06-03T00:00:00"/>
    <x v="129"/>
    <s v="AM"/>
    <x v="0"/>
  </r>
  <r>
    <d v="2026-06-03T00:00:00"/>
    <x v="16"/>
    <s v="DAY"/>
    <x v="1"/>
  </r>
  <r>
    <d v="2026-06-03T00:00:00"/>
    <x v="17"/>
    <s v="AM"/>
    <x v="1"/>
  </r>
  <r>
    <d v="2026-06-03T00:00:00"/>
    <x v="113"/>
    <s v="AM"/>
    <x v="1"/>
  </r>
  <r>
    <d v="2026-06-03T00:00:00"/>
    <x v="40"/>
    <s v="AM"/>
    <x v="1"/>
  </r>
  <r>
    <d v="2026-06-03T00:00:00"/>
    <x v="10"/>
    <s v="AM"/>
    <x v="2"/>
  </r>
  <r>
    <d v="2026-06-03T00:00:00"/>
    <x v="0"/>
    <s v="AM"/>
    <x v="2"/>
  </r>
  <r>
    <d v="2026-06-03T00:00:00"/>
    <x v="18"/>
    <s v="AM"/>
    <x v="2"/>
  </r>
  <r>
    <d v="2026-06-03T00:00:00"/>
    <x v="105"/>
    <s v="AM"/>
    <x v="2"/>
  </r>
  <r>
    <d v="2026-06-03T00:00:00"/>
    <x v="20"/>
    <s v="AM"/>
    <x v="2"/>
  </r>
  <r>
    <d v="2026-06-03T00:00:00"/>
    <x v="21"/>
    <s v="AM"/>
    <x v="2"/>
  </r>
  <r>
    <d v="2026-06-03T00:00:00"/>
    <x v="112"/>
    <s v="DAY"/>
    <x v="2"/>
  </r>
  <r>
    <d v="2026-06-03T00:00:00"/>
    <x v="22"/>
    <s v="AM"/>
    <x v="2"/>
  </r>
  <r>
    <d v="2026-06-03T00:00:00"/>
    <x v="1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114"/>
    <s v="DAY"/>
    <x v="2"/>
  </r>
  <r>
    <d v="2026-06-03T00:00:00"/>
    <x v="27"/>
    <s v="MI-TEMPS"/>
    <x v="2"/>
  </r>
  <r>
    <d v="2026-06-03T00:00:00"/>
    <x v="28"/>
    <s v="AM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"/>
    <s v="AM"/>
    <x v="2"/>
  </r>
  <r>
    <d v="2026-06-03T00:00:00"/>
    <x v="34"/>
    <s v="AM"/>
    <x v="2"/>
  </r>
  <r>
    <d v="2026-06-03T00:00:00"/>
    <x v="12"/>
    <s v="AM"/>
    <x v="2"/>
  </r>
  <r>
    <d v="2026-06-03T00:00:00"/>
    <x v="35"/>
    <s v="AM"/>
    <x v="2"/>
  </r>
  <r>
    <d v="2026-06-03T00:00:00"/>
    <x v="36"/>
    <s v="AM"/>
    <x v="2"/>
  </r>
  <r>
    <d v="2026-06-03T00:00:00"/>
    <x v="37"/>
    <s v="DAY"/>
    <x v="2"/>
  </r>
  <r>
    <d v="2026-06-03T00:00:00"/>
    <x v="38"/>
    <s v="AM"/>
    <x v="2"/>
  </r>
  <r>
    <d v="2026-06-03T00:00:00"/>
    <x v="41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122"/>
    <s v="AM"/>
    <x v="2"/>
  </r>
  <r>
    <d v="2026-06-03T00:00:00"/>
    <x v="47"/>
    <s v="AM"/>
    <x v="2"/>
  </r>
  <r>
    <d v="2026-06-03T00:00:00"/>
    <x v="102"/>
    <s v="AM"/>
    <x v="2"/>
  </r>
  <r>
    <d v="2026-06-03T00:00:00"/>
    <x v="48"/>
    <s v="MI-TEMPS"/>
    <x v="2"/>
  </r>
  <r>
    <d v="2026-06-03T00:00:00"/>
    <x v="8"/>
    <s v="AM"/>
    <x v="2"/>
  </r>
  <r>
    <d v="2026-06-03T00:00:00"/>
    <x v="9"/>
    <s v="AM"/>
    <x v="2"/>
  </r>
  <r>
    <d v="2026-06-03T00:00:00"/>
    <x v="52"/>
    <s v="AM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142"/>
    <s v="PM"/>
    <x v="0"/>
  </r>
  <r>
    <d v="2026-06-03T00:00:00"/>
    <x v="143"/>
    <s v="PM"/>
    <x v="0"/>
  </r>
  <r>
    <d v="2026-06-03T00:00:00"/>
    <x v="132"/>
    <s v="PM"/>
    <x v="0"/>
  </r>
  <r>
    <d v="2026-06-03T00:00:00"/>
    <x v="136"/>
    <s v="PM"/>
    <x v="0"/>
  </r>
  <r>
    <d v="2026-06-03T00:00:00"/>
    <x v="145"/>
    <s v="PM"/>
    <x v="0"/>
  </r>
  <r>
    <d v="2026-06-03T00:00:00"/>
    <x v="146"/>
    <s v="PM"/>
    <x v="0"/>
  </r>
  <r>
    <d v="2026-06-03T00:00:00"/>
    <x v="147"/>
    <s v="PM"/>
    <x v="0"/>
  </r>
  <r>
    <d v="2026-06-03T00:00:00"/>
    <x v="150"/>
    <s v="PM"/>
    <x v="0"/>
  </r>
  <r>
    <d v="2026-06-03T00:00:00"/>
    <x v="140"/>
    <s v="PM"/>
    <x v="0"/>
  </r>
  <r>
    <d v="2026-06-03T00:00:00"/>
    <x v="131"/>
    <s v="PM"/>
    <x v="0"/>
  </r>
  <r>
    <d v="2026-06-03T00:00:00"/>
    <x v="134"/>
    <s v="PM"/>
    <x v="1"/>
  </r>
  <r>
    <d v="2026-06-03T00:00:00"/>
    <x v="139"/>
    <s v="PM"/>
    <x v="1"/>
  </r>
  <r>
    <d v="2026-06-03T00:00:00"/>
    <x v="153"/>
    <s v="PM"/>
    <x v="1"/>
  </r>
  <r>
    <d v="2026-06-03T00:00:00"/>
    <x v="141"/>
    <s v="PM"/>
    <x v="1"/>
  </r>
  <r>
    <d v="2026-06-03T00:00:00"/>
    <x v="74"/>
    <s v="PM"/>
    <x v="2"/>
  </r>
  <r>
    <d v="2026-06-03T00:00:00"/>
    <x v="59"/>
    <s v="PM"/>
    <x v="2"/>
  </r>
  <r>
    <d v="2026-06-03T00:00:00"/>
    <x v="75"/>
    <s v="PM"/>
    <x v="2"/>
  </r>
  <r>
    <d v="2026-06-03T00:00:00"/>
    <x v="60"/>
    <s v="PM"/>
    <x v="2"/>
  </r>
  <r>
    <d v="2026-06-03T00:00:00"/>
    <x v="76"/>
    <s v="PM"/>
    <x v="2"/>
  </r>
  <r>
    <d v="2026-06-03T00:00:00"/>
    <x v="81"/>
    <s v="PM"/>
    <x v="2"/>
  </r>
  <r>
    <d v="2026-06-03T00:00:00"/>
    <x v="62"/>
    <s v="PM"/>
    <x v="2"/>
  </r>
  <r>
    <d v="2026-06-03T00:00:00"/>
    <x v="138"/>
    <s v="PM"/>
    <x v="2"/>
  </r>
  <r>
    <d v="2026-06-03T00:00:00"/>
    <x v="64"/>
    <s v="PM"/>
    <x v="2"/>
  </r>
  <r>
    <d v="2026-06-03T00:00:00"/>
    <x v="65"/>
    <s v="PM"/>
    <x v="2"/>
  </r>
  <r>
    <d v="2026-06-03T00:00:00"/>
    <x v="84"/>
    <s v="PM"/>
    <x v="2"/>
  </r>
  <r>
    <d v="2026-06-03T00:00:00"/>
    <x v="85"/>
    <s v="PM"/>
    <x v="2"/>
  </r>
  <r>
    <d v="2026-06-03T00:00:00"/>
    <x v="86"/>
    <s v="PM"/>
    <x v="2"/>
  </r>
  <r>
    <d v="2026-06-03T00:00:00"/>
    <x v="87"/>
    <s v="PM"/>
    <x v="2"/>
  </r>
  <r>
    <d v="2026-06-03T00:00:00"/>
    <x v="88"/>
    <s v="PM"/>
    <x v="2"/>
  </r>
  <r>
    <d v="2026-06-03T00:00:00"/>
    <x v="89"/>
    <s v="PM"/>
    <x v="2"/>
  </r>
  <r>
    <d v="2026-06-03T00:00:00"/>
    <x v="90"/>
    <s v="PM"/>
    <x v="2"/>
  </r>
  <r>
    <d v="2026-06-03T00:00:00"/>
    <x v="91"/>
    <s v="PM"/>
    <x v="2"/>
  </r>
  <r>
    <d v="2026-06-03T00:00:00"/>
    <x v="67"/>
    <s v="PM"/>
    <x v="2"/>
  </r>
  <r>
    <d v="2026-06-03T00:00:00"/>
    <x v="71"/>
    <s v="PM"/>
    <x v="2"/>
  </r>
  <r>
    <d v="2026-06-03T00:00:00"/>
    <x v="68"/>
    <s v="PM"/>
    <x v="2"/>
  </r>
  <r>
    <d v="2026-06-03T00:00:00"/>
    <x v="93"/>
    <s v="PM"/>
    <x v="2"/>
  </r>
  <r>
    <d v="2026-06-03T00:00:00"/>
    <x v="72"/>
    <s v="PM"/>
    <x v="2"/>
  </r>
  <r>
    <d v="2026-06-03T00:00:00"/>
    <x v="95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23"/>
    <s v="AM"/>
    <x v="4"/>
  </r>
  <r>
    <d v="2026-06-03T00:00:00"/>
    <x v="39"/>
    <s v="AM"/>
    <x v="5"/>
  </r>
  <r>
    <d v="2026-06-03T00:00:00"/>
    <x v="19"/>
    <s v="AM"/>
    <x v="6"/>
  </r>
  <r>
    <d v="2026-06-03T00:00:00"/>
    <x v="13"/>
    <s v="AM"/>
    <x v="6"/>
  </r>
  <r>
    <d v="2026-06-03T00:00:00"/>
    <x v="4"/>
    <s v="AM"/>
    <x v="6"/>
  </r>
  <r>
    <d v="2026-06-03T00:00:00"/>
    <x v="49"/>
    <s v="AM"/>
    <x v="6"/>
  </r>
  <r>
    <d v="2026-06-03T00:00:00"/>
    <x v="6"/>
    <s v="AM"/>
    <x v="6"/>
  </r>
  <r>
    <d v="2026-06-03T00:00:00"/>
    <x v="51"/>
    <s v="DAY"/>
    <x v="6"/>
  </r>
  <r>
    <d v="2026-06-03T00:00:00"/>
    <x v="14"/>
    <s v="AM"/>
    <x v="7"/>
  </r>
  <r>
    <d v="2026-06-03T00:00:00"/>
    <x v="15"/>
    <s v="AM"/>
    <x v="7"/>
  </r>
  <r>
    <d v="2026-06-03T00:00:00"/>
    <x v="111"/>
    <s v="AM"/>
    <x v="7"/>
  </r>
  <r>
    <d v="2026-06-03T00:00:00"/>
    <x v="103"/>
    <s v="AM"/>
    <x v="7"/>
  </r>
  <r>
    <d v="2026-06-03T00:00:00"/>
    <x v="115"/>
    <s v="AM"/>
    <x v="7"/>
  </r>
  <r>
    <d v="2026-06-03T00:00:00"/>
    <x v="29"/>
    <s v="AM"/>
    <x v="7"/>
  </r>
  <r>
    <d v="2026-06-03T00:00:00"/>
    <x v="116"/>
    <s v="AM"/>
    <x v="7"/>
  </r>
  <r>
    <d v="2026-06-03T00:00:00"/>
    <x v="118"/>
    <s v="AM"/>
    <x v="7"/>
  </r>
  <r>
    <d v="2026-06-03T00:00:00"/>
    <x v="119"/>
    <s v="AM"/>
    <x v="7"/>
  </r>
  <r>
    <d v="2026-06-03T00:00:00"/>
    <x v="120"/>
    <s v="AM"/>
    <x v="7"/>
  </r>
  <r>
    <d v="2026-06-03T00:00:00"/>
    <x v="42"/>
    <s v="MI-TEMPS"/>
    <x v="7"/>
  </r>
  <r>
    <d v="2026-06-03T00:00:00"/>
    <x v="43"/>
    <s v="AM"/>
    <x v="7"/>
  </r>
  <r>
    <d v="2026-06-03T00:00:00"/>
    <x v="108"/>
    <s v="AM"/>
    <x v="7"/>
  </r>
  <r>
    <d v="2026-06-03T00:00:00"/>
    <x v="50"/>
    <s v="AM"/>
    <x v="7"/>
  </r>
  <r>
    <d v="2026-06-03T00:00:00"/>
    <x v="5"/>
    <s v="AM"/>
    <x v="7"/>
  </r>
  <r>
    <d v="2026-06-03T00:00:00"/>
    <x v="7"/>
    <s v="AM"/>
    <x v="7"/>
  </r>
  <r>
    <d v="2026-06-03T00:00:00"/>
    <x v="125"/>
    <s v="DAY"/>
    <x v="7"/>
  </r>
  <r>
    <d v="2026-06-03T00:00:00"/>
    <x v="126"/>
    <s v="AM"/>
    <x v="7"/>
  </r>
  <r>
    <d v="2026-06-03T00:00:00"/>
    <x v="127"/>
    <s v="AM"/>
    <x v="7"/>
  </r>
  <r>
    <d v="2026-06-03T00:00:00"/>
    <x v="128"/>
    <s v="AM"/>
    <x v="7"/>
  </r>
  <r>
    <d v="2026-06-03T00:00:00"/>
    <x v="130"/>
    <s v="AM"/>
    <x v="7"/>
  </r>
  <r>
    <d v="2026-06-03T00:00:00"/>
    <x v="79"/>
    <s v="PM"/>
    <x v="4"/>
  </r>
  <r>
    <d v="2026-06-03T00:00:00"/>
    <x v="77"/>
    <s v="PM"/>
    <x v="5"/>
  </r>
  <r>
    <d v="2026-06-03T00:00:00"/>
    <x v="78"/>
    <s v="PM"/>
    <x v="6"/>
  </r>
  <r>
    <d v="2026-06-03T00:00:00"/>
    <x v="80"/>
    <s v="PM"/>
    <x v="6"/>
  </r>
  <r>
    <d v="2026-06-03T00:00:00"/>
    <x v="82"/>
    <s v="PM"/>
    <x v="6"/>
  </r>
  <r>
    <d v="2026-06-03T00:00:00"/>
    <x v="66"/>
    <s v="PM"/>
    <x v="6"/>
  </r>
  <r>
    <d v="2026-06-03T00:00:00"/>
    <x v="69"/>
    <s v="PM"/>
    <x v="6"/>
  </r>
  <r>
    <d v="2026-06-03T00:00:00"/>
    <x v="70"/>
    <s v="PM"/>
    <x v="6"/>
  </r>
  <r>
    <d v="2026-06-03T00:00:00"/>
    <x v="92"/>
    <s v="PM"/>
    <x v="6"/>
  </r>
  <r>
    <d v="2026-06-03T00:00:00"/>
    <x v="94"/>
    <s v="PM"/>
    <x v="6"/>
  </r>
  <r>
    <d v="2026-06-03T00:00:00"/>
    <x v="96"/>
    <s v="PM"/>
    <x v="6"/>
  </r>
  <r>
    <d v="2026-06-03T00:00:00"/>
    <x v="73"/>
    <s v="PM"/>
    <x v="7"/>
  </r>
  <r>
    <d v="2026-06-03T00:00:00"/>
    <x v="133"/>
    <s v="PM"/>
    <x v="7"/>
  </r>
  <r>
    <d v="2026-06-03T00:00:00"/>
    <x v="135"/>
    <s v="PM"/>
    <x v="7"/>
  </r>
  <r>
    <d v="2026-06-03T00:00:00"/>
    <x v="61"/>
    <s v="PM"/>
    <x v="7"/>
  </r>
  <r>
    <d v="2026-06-03T00:00:00"/>
    <x v="144"/>
    <s v="PM"/>
    <x v="7"/>
  </r>
  <r>
    <d v="2026-06-03T00:00:00"/>
    <x v="137"/>
    <s v="PM"/>
    <x v="7"/>
  </r>
  <r>
    <d v="2026-06-03T00:00:00"/>
    <x v="83"/>
    <s v="PM"/>
    <x v="7"/>
  </r>
  <r>
    <d v="2026-06-03T00:00:00"/>
    <x v="63"/>
    <s v="PM"/>
    <x v="7"/>
  </r>
  <r>
    <d v="2026-06-03T00:00:00"/>
    <x v="148"/>
    <s v="PM"/>
    <x v="7"/>
  </r>
  <r>
    <d v="2026-06-03T00:00:00"/>
    <x v="149"/>
    <s v="PM"/>
    <x v="7"/>
  </r>
  <r>
    <d v="2026-06-03T00:00:00"/>
    <x v="151"/>
    <s v="PM"/>
    <x v="7"/>
  </r>
  <r>
    <d v="2026-06-03T00:00:00"/>
    <x v="152"/>
    <s v="PM"/>
    <x v="7"/>
  </r>
  <r>
    <d v="2026-06-03T00:00:00"/>
    <x v="154"/>
    <s v="PM"/>
    <x v="7"/>
  </r>
  <r>
    <d v="2026-06-03T00:00:00"/>
    <x v="155"/>
    <s v="PM"/>
    <x v="7"/>
  </r>
  <r>
    <d v="2026-06-03T00:00:00"/>
    <x v="156"/>
    <s v="PM"/>
    <x v="7"/>
  </r>
  <r>
    <d v="2026-06-03T00:00:00"/>
    <x v="106"/>
    <s v="AM"/>
    <x v="0"/>
  </r>
  <r>
    <d v="2026-06-03T00:00:00"/>
    <x v="115"/>
    <s v="AM"/>
    <x v="0"/>
  </r>
  <r>
    <d v="2026-06-03T00:00:00"/>
    <x v="119"/>
    <s v="AM"/>
    <x v="0"/>
  </r>
  <r>
    <d v="2026-06-03T00:00:00"/>
    <x v="120"/>
    <s v="AM"/>
    <x v="0"/>
  </r>
  <r>
    <d v="2026-06-03T00:00:00"/>
    <x v="37"/>
    <s v="DAY"/>
    <x v="0"/>
  </r>
  <r>
    <d v="2026-06-03T00:00:00"/>
    <x v="45"/>
    <s v="DAY"/>
    <x v="0"/>
  </r>
  <r>
    <d v="2026-06-03T00:00:00"/>
    <x v="123"/>
    <s v="AM"/>
    <x v="0"/>
  </r>
  <r>
    <d v="2026-06-03T00:00:00"/>
    <x v="124"/>
    <s v="AM"/>
    <x v="0"/>
  </r>
  <r>
    <d v="2026-06-03T00:00:00"/>
    <x v="128"/>
    <s v="AM"/>
    <x v="0"/>
  </r>
  <r>
    <d v="2026-06-03T00:00:00"/>
    <x v="129"/>
    <s v="AM"/>
    <x v="0"/>
  </r>
  <r>
    <d v="2026-06-03T00:00:00"/>
    <x v="28"/>
    <s v="AM"/>
    <x v="1"/>
  </r>
  <r>
    <d v="2026-06-03T00:00:00"/>
    <x v="107"/>
    <s v="AM"/>
    <x v="1"/>
  </r>
  <r>
    <d v="2026-06-03T00:00:00"/>
    <x v="108"/>
    <s v="AM"/>
    <x v="1"/>
  </r>
  <r>
    <d v="2026-06-03T00:00:00"/>
    <x v="109"/>
    <s v="AM"/>
    <x v="1"/>
  </r>
  <r>
    <d v="2026-06-03T00:00:00"/>
    <x v="10"/>
    <s v="AM"/>
    <x v="2"/>
  </r>
  <r>
    <d v="2026-06-03T00:00:00"/>
    <x v="14"/>
    <s v="AM"/>
    <x v="2"/>
  </r>
  <r>
    <d v="2026-06-03T00:00:00"/>
    <x v="0"/>
    <s v="AM"/>
    <x v="2"/>
  </r>
  <r>
    <d v="2026-06-03T00:00:00"/>
    <x v="16"/>
    <s v="DAY"/>
    <x v="2"/>
  </r>
  <r>
    <d v="2026-06-03T00:00:00"/>
    <x v="17"/>
    <s v="AM"/>
    <x v="2"/>
  </r>
  <r>
    <d v="2026-06-03T00:00:00"/>
    <x v="104"/>
    <s v="AM"/>
    <x v="2"/>
  </r>
  <r>
    <d v="2026-06-03T00:00:00"/>
    <x v="110"/>
    <s v="AM"/>
    <x v="2"/>
  </r>
  <r>
    <d v="2026-06-03T00:00:00"/>
    <x v="18"/>
    <s v="AM"/>
    <x v="2"/>
  </r>
  <r>
    <d v="2026-06-03T00:00:00"/>
    <x v="19"/>
    <s v="AM"/>
    <x v="2"/>
  </r>
  <r>
    <d v="2026-06-03T00:00:00"/>
    <x v="20"/>
    <s v="AM"/>
    <x v="2"/>
  </r>
  <r>
    <d v="2026-06-03T00:00:00"/>
    <x v="21"/>
    <s v="AM"/>
    <x v="2"/>
  </r>
  <r>
    <d v="2026-06-03T00:00:00"/>
    <x v="112"/>
    <s v="DAY"/>
    <x v="2"/>
  </r>
  <r>
    <d v="2026-06-03T00:00:00"/>
    <x v="22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3"/>
    <s v="AM"/>
    <x v="2"/>
  </r>
  <r>
    <d v="2026-06-03T00:00:00"/>
    <x v="114"/>
    <s v="DAY"/>
    <x v="2"/>
  </r>
  <r>
    <d v="2026-06-03T00:00:00"/>
    <x v="29"/>
    <s v="AM"/>
    <x v="2"/>
  </r>
  <r>
    <d v="2026-06-03T00:00:00"/>
    <x v="30"/>
    <s v="DAY"/>
    <x v="2"/>
  </r>
  <r>
    <d v="2026-06-03T00:00:00"/>
    <x v="2"/>
    <s v="AM"/>
    <x v="2"/>
  </r>
  <r>
    <d v="2026-06-03T00:00:00"/>
    <x v="32"/>
    <s v="MI-TEMPS"/>
    <x v="2"/>
  </r>
  <r>
    <d v="2026-06-03T00:00:00"/>
    <x v="34"/>
    <s v="AM"/>
    <x v="2"/>
  </r>
  <r>
    <d v="2026-06-03T00:00:00"/>
    <x v="12"/>
    <s v="AM"/>
    <x v="2"/>
  </r>
  <r>
    <d v="2026-06-03T00:00:00"/>
    <x v="36"/>
    <s v="AM"/>
    <x v="2"/>
  </r>
  <r>
    <d v="2026-06-03T00:00:00"/>
    <x v="39"/>
    <s v="AM"/>
    <x v="2"/>
  </r>
  <r>
    <d v="2026-06-03T00:00:00"/>
    <x v="13"/>
    <s v="AM"/>
    <x v="2"/>
  </r>
  <r>
    <d v="2026-06-03T00:00:00"/>
    <x v="4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4"/>
    <s v="MI-TEMPS"/>
    <x v="2"/>
  </r>
  <r>
    <d v="2026-06-03T00:00:00"/>
    <x v="46"/>
    <s v="MI-TEMPS"/>
    <x v="2"/>
  </r>
  <r>
    <d v="2026-06-03T00:00:00"/>
    <x v="102"/>
    <s v="AM"/>
    <x v="2"/>
  </r>
  <r>
    <d v="2026-06-03T00:00:00"/>
    <x v="48"/>
    <s v="MI-TEMPS"/>
    <x v="2"/>
  </r>
  <r>
    <d v="2026-06-03T00:00:00"/>
    <x v="5"/>
    <s v="AM"/>
    <x v="2"/>
  </r>
  <r>
    <d v="2026-06-03T00:00:00"/>
    <x v="6"/>
    <s v="AM"/>
    <x v="2"/>
  </r>
  <r>
    <d v="2026-06-03T00:00:00"/>
    <x v="8"/>
    <s v="AM"/>
    <x v="2"/>
  </r>
  <r>
    <d v="2026-06-03T00:00:00"/>
    <x v="9"/>
    <s v="AM"/>
    <x v="2"/>
  </r>
  <r>
    <d v="2026-06-03T00:00:00"/>
    <x v="51"/>
    <s v="DAY"/>
    <x v="2"/>
  </r>
  <r>
    <d v="2026-06-03T00:00:00"/>
    <x v="52"/>
    <s v="AM"/>
    <x v="2"/>
  </r>
  <r>
    <d v="2026-06-03T00:00:00"/>
    <x v="125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133"/>
    <s v="PM"/>
    <x v="0"/>
  </r>
  <r>
    <d v="2026-06-03T00:00:00"/>
    <x v="135"/>
    <s v="PM"/>
    <x v="0"/>
  </r>
  <r>
    <d v="2026-06-03T00:00:00"/>
    <x v="144"/>
    <s v="PM"/>
    <x v="0"/>
  </r>
  <r>
    <d v="2026-06-03T00:00:00"/>
    <x v="145"/>
    <s v="PM"/>
    <x v="0"/>
  </r>
  <r>
    <d v="2026-06-03T00:00:00"/>
    <x v="137"/>
    <s v="PM"/>
    <x v="0"/>
  </r>
  <r>
    <d v="2026-06-03T00:00:00"/>
    <x v="148"/>
    <s v="PM"/>
    <x v="0"/>
  </r>
  <r>
    <d v="2026-06-03T00:00:00"/>
    <x v="139"/>
    <s v="PM"/>
    <x v="0"/>
  </r>
  <r>
    <d v="2026-06-03T00:00:00"/>
    <x v="152"/>
    <s v="PM"/>
    <x v="0"/>
  </r>
  <r>
    <d v="2026-06-03T00:00:00"/>
    <x v="140"/>
    <s v="PM"/>
    <x v="0"/>
  </r>
  <r>
    <d v="2026-06-03T00:00:00"/>
    <x v="141"/>
    <s v="PM"/>
    <x v="0"/>
  </r>
  <r>
    <d v="2026-06-03T00:00:00"/>
    <x v="143"/>
    <s v="PM"/>
    <x v="1"/>
  </r>
  <r>
    <d v="2026-06-03T00:00:00"/>
    <x v="79"/>
    <s v="PM"/>
    <x v="1"/>
  </r>
  <r>
    <d v="2026-06-03T00:00:00"/>
    <x v="146"/>
    <s v="PM"/>
    <x v="1"/>
  </r>
  <r>
    <d v="2026-06-03T00:00:00"/>
    <x v="149"/>
    <s v="PM"/>
    <x v="1"/>
  </r>
  <r>
    <d v="2026-06-03T00:00:00"/>
    <x v="74"/>
    <s v="PM"/>
    <x v="2"/>
  </r>
  <r>
    <d v="2026-06-03T00:00:00"/>
    <x v="75"/>
    <s v="PM"/>
    <x v="2"/>
  </r>
  <r>
    <d v="2026-06-03T00:00:00"/>
    <x v="60"/>
    <s v="PM"/>
    <x v="2"/>
  </r>
  <r>
    <d v="2026-06-03T00:00:00"/>
    <x v="132"/>
    <s v="PM"/>
    <x v="2"/>
  </r>
  <r>
    <d v="2026-06-03T00:00:00"/>
    <x v="61"/>
    <s v="PM"/>
    <x v="2"/>
  </r>
  <r>
    <d v="2026-06-03T00:00:00"/>
    <x v="81"/>
    <s v="PM"/>
    <x v="2"/>
  </r>
  <r>
    <d v="2026-06-03T00:00:00"/>
    <x v="62"/>
    <s v="PM"/>
    <x v="2"/>
  </r>
  <r>
    <d v="2026-06-03T00:00:00"/>
    <x v="82"/>
    <s v="PM"/>
    <x v="2"/>
  </r>
  <r>
    <d v="2026-06-03T00:00:00"/>
    <x v="83"/>
    <s v="PM"/>
    <x v="2"/>
  </r>
  <r>
    <d v="2026-06-03T00:00:00"/>
    <x v="63"/>
    <s v="PM"/>
    <x v="2"/>
  </r>
  <r>
    <d v="2026-06-03T00:00:00"/>
    <x v="150"/>
    <s v="PM"/>
    <x v="2"/>
  </r>
  <r>
    <d v="2026-06-03T00:00:00"/>
    <x v="85"/>
    <s v="PM"/>
    <x v="2"/>
  </r>
  <r>
    <d v="2026-06-03T00:00:00"/>
    <x v="66"/>
    <s v="PM"/>
    <x v="2"/>
  </r>
  <r>
    <d v="2026-06-03T00:00:00"/>
    <x v="88"/>
    <s v="PM"/>
    <x v="2"/>
  </r>
  <r>
    <d v="2026-06-03T00:00:00"/>
    <x v="89"/>
    <s v="PM"/>
    <x v="2"/>
  </r>
  <r>
    <d v="2026-06-03T00:00:00"/>
    <x v="90"/>
    <s v="PM"/>
    <x v="2"/>
  </r>
  <r>
    <d v="2026-06-03T00:00:00"/>
    <x v="69"/>
    <s v="PM"/>
    <x v="2"/>
  </r>
  <r>
    <d v="2026-06-03T00:00:00"/>
    <x v="91"/>
    <s v="PM"/>
    <x v="2"/>
  </r>
  <r>
    <d v="2026-06-03T00:00:00"/>
    <x v="68"/>
    <s v="PM"/>
    <x v="2"/>
  </r>
  <r>
    <d v="2026-06-03T00:00:00"/>
    <x v="92"/>
    <s v="PM"/>
    <x v="2"/>
  </r>
  <r>
    <d v="2026-06-03T00:00:00"/>
    <x v="93"/>
    <s v="PM"/>
    <x v="2"/>
  </r>
  <r>
    <d v="2026-06-03T00:00:00"/>
    <x v="153"/>
    <s v="PM"/>
    <x v="2"/>
  </r>
  <r>
    <d v="2026-06-03T00:00:00"/>
    <x v="95"/>
    <s v="PM"/>
    <x v="2"/>
  </r>
  <r>
    <d v="2026-06-03T00:00:00"/>
    <x v="131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"/>
    <s v="AM"/>
    <x v="4"/>
  </r>
  <r>
    <d v="2026-06-03T00:00:00"/>
    <x v="11"/>
    <s v="AM"/>
    <x v="5"/>
  </r>
  <r>
    <d v="2026-06-03T00:00:00"/>
    <x v="23"/>
    <s v="AM"/>
    <x v="6"/>
  </r>
  <r>
    <d v="2026-06-03T00:00:00"/>
    <x v="31"/>
    <s v="AM"/>
    <x v="6"/>
  </r>
  <r>
    <d v="2026-06-03T00:00:00"/>
    <x v="35"/>
    <s v="AM"/>
    <x v="6"/>
  </r>
  <r>
    <d v="2026-06-03T00:00:00"/>
    <x v="38"/>
    <s v="AM"/>
    <x v="6"/>
  </r>
  <r>
    <d v="2026-06-03T00:00:00"/>
    <x v="43"/>
    <s v="AM"/>
    <x v="6"/>
  </r>
  <r>
    <d v="2026-06-03T00:00:00"/>
    <x v="54"/>
    <s v="DAY"/>
    <x v="6"/>
  </r>
  <r>
    <d v="2026-06-03T00:00:00"/>
    <x v="15"/>
    <s v="AM"/>
    <x v="7"/>
  </r>
  <r>
    <d v="2026-06-03T00:00:00"/>
    <x v="105"/>
    <s v="AM"/>
    <x v="7"/>
  </r>
  <r>
    <d v="2026-06-03T00:00:00"/>
    <x v="111"/>
    <s v="AM"/>
    <x v="7"/>
  </r>
  <r>
    <d v="2026-06-03T00:00:00"/>
    <x v="103"/>
    <s v="AM"/>
    <x v="7"/>
  </r>
  <r>
    <d v="2026-06-03T00:00:00"/>
    <x v="27"/>
    <s v="MI-TEMPS"/>
    <x v="7"/>
  </r>
  <r>
    <d v="2026-06-03T00:00:00"/>
    <x v="116"/>
    <s v="AM"/>
    <x v="7"/>
  </r>
  <r>
    <d v="2026-06-03T00:00:00"/>
    <x v="117"/>
    <s v="AM"/>
    <x v="7"/>
  </r>
  <r>
    <d v="2026-06-03T00:00:00"/>
    <x v="118"/>
    <s v="AM"/>
    <x v="7"/>
  </r>
  <r>
    <d v="2026-06-03T00:00:00"/>
    <x v="33"/>
    <s v="AM"/>
    <x v="7"/>
  </r>
  <r>
    <d v="2026-06-03T00:00:00"/>
    <x v="3"/>
    <s v="AM"/>
    <x v="7"/>
  </r>
  <r>
    <d v="2026-06-03T00:00:00"/>
    <x v="121"/>
    <s v="AM"/>
    <x v="7"/>
  </r>
  <r>
    <d v="2026-06-03T00:00:00"/>
    <x v="40"/>
    <s v="AM"/>
    <x v="7"/>
  </r>
  <r>
    <d v="2026-06-03T00:00:00"/>
    <x v="122"/>
    <s v="AM"/>
    <x v="7"/>
  </r>
  <r>
    <d v="2026-06-03T00:00:00"/>
    <x v="47"/>
    <s v="AM"/>
    <x v="7"/>
  </r>
  <r>
    <d v="2026-06-03T00:00:00"/>
    <x v="49"/>
    <s v="AM"/>
    <x v="7"/>
  </r>
  <r>
    <d v="2026-06-03T00:00:00"/>
    <x v="50"/>
    <s v="AM"/>
    <x v="7"/>
  </r>
  <r>
    <d v="2026-06-03T00:00:00"/>
    <x v="7"/>
    <s v="AM"/>
    <x v="7"/>
  </r>
  <r>
    <d v="2026-06-03T00:00:00"/>
    <x v="126"/>
    <s v="AM"/>
    <x v="7"/>
  </r>
  <r>
    <d v="2026-06-03T00:00:00"/>
    <x v="53"/>
    <s v="MI-TEMPS"/>
    <x v="7"/>
  </r>
  <r>
    <d v="2026-06-03T00:00:00"/>
    <x v="127"/>
    <s v="AM"/>
    <x v="7"/>
  </r>
  <r>
    <d v="2026-06-03T00:00:00"/>
    <x v="130"/>
    <s v="AM"/>
    <x v="7"/>
  </r>
  <r>
    <d v="2026-06-03T00:00:00"/>
    <x v="84"/>
    <s v="PM"/>
    <x v="4"/>
  </r>
  <r>
    <d v="2026-06-03T00:00:00"/>
    <x v="80"/>
    <s v="PM"/>
    <x v="5"/>
  </r>
  <r>
    <d v="2026-06-03T00:00:00"/>
    <x v="59"/>
    <s v="PM"/>
    <x v="6"/>
  </r>
  <r>
    <d v="2026-06-03T00:00:00"/>
    <x v="76"/>
    <s v="PM"/>
    <x v="6"/>
  </r>
  <r>
    <d v="2026-06-03T00:00:00"/>
    <x v="77"/>
    <s v="PM"/>
    <x v="6"/>
  </r>
  <r>
    <d v="2026-06-03T00:00:00"/>
    <x v="64"/>
    <s v="PM"/>
    <x v="6"/>
  </r>
  <r>
    <d v="2026-06-03T00:00:00"/>
    <x v="65"/>
    <s v="PM"/>
    <x v="6"/>
  </r>
  <r>
    <d v="2026-06-03T00:00:00"/>
    <x v="70"/>
    <s v="PM"/>
    <x v="6"/>
  </r>
  <r>
    <d v="2026-06-03T00:00:00"/>
    <x v="71"/>
    <s v="PM"/>
    <x v="6"/>
  </r>
  <r>
    <d v="2026-06-03T00:00:00"/>
    <x v="72"/>
    <s v="PM"/>
    <x v="6"/>
  </r>
  <r>
    <d v="2026-06-03T00:00:00"/>
    <x v="94"/>
    <s v="PM"/>
    <x v="6"/>
  </r>
  <r>
    <d v="2026-06-03T00:00:00"/>
    <x v="73"/>
    <s v="PM"/>
    <x v="7"/>
  </r>
  <r>
    <d v="2026-06-03T00:00:00"/>
    <x v="134"/>
    <s v="PM"/>
    <x v="7"/>
  </r>
  <r>
    <d v="2026-06-03T00:00:00"/>
    <x v="142"/>
    <s v="PM"/>
    <x v="7"/>
  </r>
  <r>
    <d v="2026-06-03T00:00:00"/>
    <x v="78"/>
    <s v="PM"/>
    <x v="7"/>
  </r>
  <r>
    <d v="2026-06-03T00:00:00"/>
    <x v="136"/>
    <s v="PM"/>
    <x v="7"/>
  </r>
  <r>
    <d v="2026-06-03T00:00:00"/>
    <x v="138"/>
    <s v="PM"/>
    <x v="7"/>
  </r>
  <r>
    <d v="2026-06-03T00:00:00"/>
    <x v="147"/>
    <s v="PM"/>
    <x v="7"/>
  </r>
  <r>
    <d v="2026-06-03T00:00:00"/>
    <x v="151"/>
    <s v="PM"/>
    <x v="7"/>
  </r>
  <r>
    <d v="2026-06-03T00:00:00"/>
    <x v="86"/>
    <s v="PM"/>
    <x v="7"/>
  </r>
  <r>
    <d v="2026-06-03T00:00:00"/>
    <x v="87"/>
    <s v="PM"/>
    <x v="7"/>
  </r>
  <r>
    <d v="2026-06-03T00:00:00"/>
    <x v="67"/>
    <s v="PM"/>
    <x v="7"/>
  </r>
  <r>
    <d v="2026-06-03T00:00:00"/>
    <x v="154"/>
    <s v="PM"/>
    <x v="7"/>
  </r>
  <r>
    <d v="2026-06-03T00:00:00"/>
    <x v="155"/>
    <s v="PM"/>
    <x v="7"/>
  </r>
  <r>
    <d v="2026-06-03T00:00:00"/>
    <x v="156"/>
    <s v="PM"/>
    <x v="7"/>
  </r>
  <r>
    <d v="2026-06-03T00:00:00"/>
    <x v="96"/>
    <s v="PM"/>
    <x v="7"/>
  </r>
  <r>
    <d v="2026-06-03T00:00:00"/>
    <x v="116"/>
    <s v="AM"/>
    <x v="0"/>
  </r>
  <r>
    <d v="2026-06-03T00:00:00"/>
    <x v="121"/>
    <s v="AM"/>
    <x v="0"/>
  </r>
  <r>
    <d v="2026-06-03T00:00:00"/>
    <x v="42"/>
    <s v="MI-TEMPS"/>
    <x v="0"/>
  </r>
  <r>
    <d v="2026-06-03T00:00:00"/>
    <x v="107"/>
    <s v="AM"/>
    <x v="0"/>
  </r>
  <r>
    <d v="2026-06-03T00:00:00"/>
    <x v="102"/>
    <s v="AM"/>
    <x v="0"/>
  </r>
  <r>
    <d v="2026-06-03T00:00:00"/>
    <x v="126"/>
    <s v="AM"/>
    <x v="0"/>
  </r>
  <r>
    <d v="2026-06-03T00:00:00"/>
    <x v="127"/>
    <s v="AM"/>
    <x v="0"/>
  </r>
  <r>
    <d v="2026-06-03T00:00:00"/>
    <x v="128"/>
    <s v="AM"/>
    <x v="0"/>
  </r>
  <r>
    <d v="2026-06-03T00:00:00"/>
    <x v="54"/>
    <s v="DAY"/>
    <x v="0"/>
  </r>
  <r>
    <d v="2026-06-03T00:00:00"/>
    <x v="130"/>
    <s v="AM"/>
    <x v="0"/>
  </r>
  <r>
    <d v="2026-06-03T00:00:00"/>
    <x v="19"/>
    <s v="AM"/>
    <x v="1"/>
  </r>
  <r>
    <d v="2026-06-03T00:00:00"/>
    <x v="115"/>
    <s v="AM"/>
    <x v="1"/>
  </r>
  <r>
    <d v="2026-06-03T00:00:00"/>
    <x v="119"/>
    <s v="AM"/>
    <x v="1"/>
  </r>
  <r>
    <d v="2026-06-03T00:00:00"/>
    <x v="45"/>
    <s v="DAY"/>
    <x v="1"/>
  </r>
  <r>
    <d v="2026-06-03T00:00:00"/>
    <x v="10"/>
    <s v="AM"/>
    <x v="2"/>
  </r>
  <r>
    <d v="2026-06-03T00:00:00"/>
    <x v="15"/>
    <s v="AM"/>
    <x v="2"/>
  </r>
  <r>
    <d v="2026-06-03T00:00:00"/>
    <x v="17"/>
    <s v="AM"/>
    <x v="2"/>
  </r>
  <r>
    <d v="2026-06-03T00:00:00"/>
    <x v="110"/>
    <s v="AM"/>
    <x v="2"/>
  </r>
  <r>
    <d v="2026-06-03T00:00:00"/>
    <x v="21"/>
    <s v="AM"/>
    <x v="2"/>
  </r>
  <r>
    <d v="2026-06-03T00:00:00"/>
    <x v="103"/>
    <s v="AM"/>
    <x v="2"/>
  </r>
  <r>
    <d v="2026-06-03T00:00:00"/>
    <x v="112"/>
    <s v="DAY"/>
    <x v="2"/>
  </r>
  <r>
    <d v="2026-06-03T00:00:00"/>
    <x v="106"/>
    <s v="AM"/>
    <x v="2"/>
  </r>
  <r>
    <d v="2026-06-03T00:00:00"/>
    <x v="1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27"/>
    <s v="MI-TEMPS"/>
    <x v="2"/>
  </r>
  <r>
    <d v="2026-06-03T00:00:00"/>
    <x v="28"/>
    <s v="AM"/>
    <x v="2"/>
  </r>
  <r>
    <d v="2026-06-03T00:00:00"/>
    <x v="29"/>
    <s v="AM"/>
    <x v="2"/>
  </r>
  <r>
    <d v="2026-06-03T00:00:00"/>
    <x v="30"/>
    <s v="DAY"/>
    <x v="2"/>
  </r>
  <r>
    <d v="2026-06-03T00:00:00"/>
    <x v="31"/>
    <s v="AM"/>
    <x v="2"/>
  </r>
  <r>
    <d v="2026-06-03T00:00:00"/>
    <x v="117"/>
    <s v="AM"/>
    <x v="2"/>
  </r>
  <r>
    <d v="2026-06-03T00:00:00"/>
    <x v="33"/>
    <s v="AM"/>
    <x v="2"/>
  </r>
  <r>
    <d v="2026-06-03T00:00:00"/>
    <x v="12"/>
    <s v="AM"/>
    <x v="2"/>
  </r>
  <r>
    <d v="2026-06-03T00:00:00"/>
    <x v="120"/>
    <s v="AM"/>
    <x v="2"/>
  </r>
  <r>
    <d v="2026-06-03T00:00:00"/>
    <x v="36"/>
    <s v="AM"/>
    <x v="2"/>
  </r>
  <r>
    <d v="2026-06-03T00:00:00"/>
    <x v="37"/>
    <s v="DAY"/>
    <x v="2"/>
  </r>
  <r>
    <d v="2026-06-03T00:00:00"/>
    <x v="39"/>
    <s v="AM"/>
    <x v="2"/>
  </r>
  <r>
    <d v="2026-06-03T00:00:00"/>
    <x v="4"/>
    <s v="AM"/>
    <x v="2"/>
  </r>
  <r>
    <d v="2026-06-03T00:00:00"/>
    <x v="43"/>
    <s v="AM"/>
    <x v="2"/>
  </r>
  <r>
    <d v="2026-06-03T00:00:00"/>
    <x v="44"/>
    <s v="MI-TEMPS"/>
    <x v="2"/>
  </r>
  <r>
    <d v="2026-06-03T00:00:00"/>
    <x v="122"/>
    <s v="AM"/>
    <x v="2"/>
  </r>
  <r>
    <d v="2026-06-03T00:00:00"/>
    <x v="46"/>
    <s v="MI-TEMPS"/>
    <x v="2"/>
  </r>
  <r>
    <d v="2026-06-03T00:00:00"/>
    <x v="47"/>
    <s v="AM"/>
    <x v="2"/>
  </r>
  <r>
    <d v="2026-06-03T00:00:00"/>
    <x v="48"/>
    <s v="MI-TEMPS"/>
    <x v="2"/>
  </r>
  <r>
    <d v="2026-06-03T00:00:00"/>
    <x v="109"/>
    <s v="AM"/>
    <x v="2"/>
  </r>
  <r>
    <d v="2026-06-03T00:00:00"/>
    <x v="6"/>
    <s v="AM"/>
    <x v="2"/>
  </r>
  <r>
    <d v="2026-06-03T00:00:00"/>
    <x v="7"/>
    <s v="AM"/>
    <x v="2"/>
  </r>
  <r>
    <d v="2026-06-03T00:00:00"/>
    <x v="8"/>
    <s v="AM"/>
    <x v="2"/>
  </r>
  <r>
    <d v="2026-06-03T00:00:00"/>
    <x v="9"/>
    <s v="AM"/>
    <x v="2"/>
  </r>
  <r>
    <d v="2026-06-03T00:00:00"/>
    <x v="51"/>
    <s v="DAY"/>
    <x v="2"/>
  </r>
  <r>
    <d v="2026-06-03T00:00:00"/>
    <x v="125"/>
    <s v="DAY"/>
    <x v="2"/>
  </r>
  <r>
    <d v="2026-06-03T00:00:00"/>
    <x v="53"/>
    <s v="MI-TEMPS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135"/>
    <s v="PM"/>
    <x v="0"/>
  </r>
  <r>
    <d v="2026-06-03T00:00:00"/>
    <x v="142"/>
    <s v="PM"/>
    <x v="0"/>
  </r>
  <r>
    <d v="2026-06-03T00:00:00"/>
    <x v="137"/>
    <s v="PM"/>
    <x v="0"/>
  </r>
  <r>
    <d v="2026-06-03T00:00:00"/>
    <x v="138"/>
    <s v="PM"/>
    <x v="0"/>
  </r>
  <r>
    <d v="2026-06-03T00:00:00"/>
    <x v="147"/>
    <s v="PM"/>
    <x v="0"/>
  </r>
  <r>
    <d v="2026-06-03T00:00:00"/>
    <x v="139"/>
    <s v="PM"/>
    <x v="0"/>
  </r>
  <r>
    <d v="2026-06-03T00:00:00"/>
    <x v="149"/>
    <s v="PM"/>
    <x v="0"/>
  </r>
  <r>
    <d v="2026-06-03T00:00:00"/>
    <x v="151"/>
    <s v="PM"/>
    <x v="0"/>
  </r>
  <r>
    <d v="2026-06-03T00:00:00"/>
    <x v="153"/>
    <s v="PM"/>
    <x v="0"/>
  </r>
  <r>
    <d v="2026-06-03T00:00:00"/>
    <x v="156"/>
    <s v="PM"/>
    <x v="0"/>
  </r>
  <r>
    <d v="2026-06-03T00:00:00"/>
    <x v="144"/>
    <s v="PM"/>
    <x v="1"/>
  </r>
  <r>
    <d v="2026-06-03T00:00:00"/>
    <x v="150"/>
    <s v="PM"/>
    <x v="1"/>
  </r>
  <r>
    <d v="2026-06-03T00:00:00"/>
    <x v="152"/>
    <s v="PM"/>
    <x v="1"/>
  </r>
  <r>
    <d v="2026-06-03T00:00:00"/>
    <x v="131"/>
    <s v="PM"/>
    <x v="1"/>
  </r>
  <r>
    <d v="2026-06-03T00:00:00"/>
    <x v="73"/>
    <s v="PM"/>
    <x v="2"/>
  </r>
  <r>
    <d v="2026-06-03T00:00:00"/>
    <x v="75"/>
    <s v="PM"/>
    <x v="2"/>
  </r>
  <r>
    <d v="2026-06-03T00:00:00"/>
    <x v="60"/>
    <s v="PM"/>
    <x v="2"/>
  </r>
  <r>
    <d v="2026-06-03T00:00:00"/>
    <x v="61"/>
    <s v="PM"/>
    <x v="2"/>
  </r>
  <r>
    <d v="2026-06-03T00:00:00"/>
    <x v="81"/>
    <s v="PM"/>
    <x v="2"/>
  </r>
  <r>
    <d v="2026-06-03T00:00:00"/>
    <x v="62"/>
    <s v="PM"/>
    <x v="2"/>
  </r>
  <r>
    <d v="2026-06-03T00:00:00"/>
    <x v="82"/>
    <s v="PM"/>
    <x v="2"/>
  </r>
  <r>
    <d v="2026-06-03T00:00:00"/>
    <x v="83"/>
    <s v="PM"/>
    <x v="2"/>
  </r>
  <r>
    <d v="2026-06-03T00:00:00"/>
    <x v="63"/>
    <s v="PM"/>
    <x v="2"/>
  </r>
  <r>
    <d v="2026-06-03T00:00:00"/>
    <x v="64"/>
    <s v="PM"/>
    <x v="2"/>
  </r>
  <r>
    <d v="2026-06-03T00:00:00"/>
    <x v="65"/>
    <s v="PM"/>
    <x v="2"/>
  </r>
  <r>
    <d v="2026-06-03T00:00:00"/>
    <x v="84"/>
    <s v="PM"/>
    <x v="2"/>
  </r>
  <r>
    <d v="2026-06-03T00:00:00"/>
    <x v="85"/>
    <s v="PM"/>
    <x v="2"/>
  </r>
  <r>
    <d v="2026-06-03T00:00:00"/>
    <x v="86"/>
    <s v="PM"/>
    <x v="2"/>
  </r>
  <r>
    <d v="2026-06-03T00:00:00"/>
    <x v="66"/>
    <s v="PM"/>
    <x v="2"/>
  </r>
  <r>
    <d v="2026-06-03T00:00:00"/>
    <x v="87"/>
    <s v="PM"/>
    <x v="2"/>
  </r>
  <r>
    <d v="2026-06-03T00:00:00"/>
    <x v="90"/>
    <s v="PM"/>
    <x v="2"/>
  </r>
  <r>
    <d v="2026-06-03T00:00:00"/>
    <x v="69"/>
    <s v="PM"/>
    <x v="2"/>
  </r>
  <r>
    <d v="2026-06-03T00:00:00"/>
    <x v="67"/>
    <s v="PM"/>
    <x v="2"/>
  </r>
  <r>
    <d v="2026-06-03T00:00:00"/>
    <x v="70"/>
    <s v="PM"/>
    <x v="2"/>
  </r>
  <r>
    <d v="2026-06-03T00:00:00"/>
    <x v="93"/>
    <s v="PM"/>
    <x v="2"/>
  </r>
  <r>
    <d v="2026-06-03T00:00:00"/>
    <x v="72"/>
    <s v="PM"/>
    <x v="2"/>
  </r>
  <r>
    <d v="2026-06-03T00:00:00"/>
    <x v="94"/>
    <s v="PM"/>
    <x v="2"/>
  </r>
  <r>
    <d v="2026-06-03T00:00:00"/>
    <x v="141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24"/>
    <s v="AM"/>
    <x v="4"/>
  </r>
  <r>
    <d v="2026-06-03T00:00:00"/>
    <x v="118"/>
    <s v="AM"/>
    <x v="5"/>
  </r>
  <r>
    <d v="2026-06-03T00:00:00"/>
    <x v="16"/>
    <s v="DAY"/>
    <x v="6"/>
  </r>
  <r>
    <d v="2026-06-03T00:00:00"/>
    <x v="20"/>
    <s v="AM"/>
    <x v="6"/>
  </r>
  <r>
    <d v="2026-06-03T00:00:00"/>
    <x v="32"/>
    <s v="MI-TEMPS"/>
    <x v="6"/>
  </r>
  <r>
    <d v="2026-06-03T00:00:00"/>
    <x v="34"/>
    <s v="AM"/>
    <x v="6"/>
  </r>
  <r>
    <d v="2026-06-03T00:00:00"/>
    <x v="49"/>
    <s v="AM"/>
    <x v="6"/>
  </r>
  <r>
    <d v="2026-06-03T00:00:00"/>
    <x v="5"/>
    <s v="AM"/>
    <x v="6"/>
  </r>
  <r>
    <d v="2026-06-03T00:00:00"/>
    <x v="14"/>
    <s v="AM"/>
    <x v="7"/>
  </r>
  <r>
    <d v="2026-06-03T00:00:00"/>
    <x v="0"/>
    <s v="AM"/>
    <x v="7"/>
  </r>
  <r>
    <d v="2026-06-03T00:00:00"/>
    <x v="104"/>
    <s v="AM"/>
    <x v="7"/>
  </r>
  <r>
    <d v="2026-06-03T00:00:00"/>
    <x v="18"/>
    <s v="AM"/>
    <x v="7"/>
  </r>
  <r>
    <d v="2026-06-03T00:00:00"/>
    <x v="105"/>
    <s v="AM"/>
    <x v="7"/>
  </r>
  <r>
    <d v="2026-06-03T00:00:00"/>
    <x v="111"/>
    <s v="AM"/>
    <x v="7"/>
  </r>
  <r>
    <d v="2026-06-03T00:00:00"/>
    <x v="22"/>
    <s v="AM"/>
    <x v="7"/>
  </r>
  <r>
    <d v="2026-06-03T00:00:00"/>
    <x v="113"/>
    <s v="AM"/>
    <x v="7"/>
  </r>
  <r>
    <d v="2026-06-03T00:00:00"/>
    <x v="114"/>
    <s v="DAY"/>
    <x v="7"/>
  </r>
  <r>
    <d v="2026-06-03T00:00:00"/>
    <x v="2"/>
    <s v="AM"/>
    <x v="7"/>
  </r>
  <r>
    <d v="2026-06-03T00:00:00"/>
    <x v="3"/>
    <s v="AM"/>
    <x v="7"/>
  </r>
  <r>
    <d v="2026-06-03T00:00:00"/>
    <x v="35"/>
    <s v="AM"/>
    <x v="7"/>
  </r>
  <r>
    <d v="2026-06-03T00:00:00"/>
    <x v="38"/>
    <s v="AM"/>
    <x v="7"/>
  </r>
  <r>
    <d v="2026-06-03T00:00:00"/>
    <x v="40"/>
    <s v="AM"/>
    <x v="7"/>
  </r>
  <r>
    <d v="2026-06-03T00:00:00"/>
    <x v="13"/>
    <s v="AM"/>
    <x v="7"/>
  </r>
  <r>
    <d v="2026-06-03T00:00:00"/>
    <x v="41"/>
    <s v="AM"/>
    <x v="7"/>
  </r>
  <r>
    <d v="2026-06-03T00:00:00"/>
    <x v="108"/>
    <s v="AM"/>
    <x v="7"/>
  </r>
  <r>
    <d v="2026-06-03T00:00:00"/>
    <x v="50"/>
    <s v="AM"/>
    <x v="7"/>
  </r>
  <r>
    <d v="2026-06-03T00:00:00"/>
    <x v="123"/>
    <s v="AM"/>
    <x v="7"/>
  </r>
  <r>
    <d v="2026-06-03T00:00:00"/>
    <x v="52"/>
    <s v="AM"/>
    <x v="7"/>
  </r>
  <r>
    <d v="2026-06-03T00:00:00"/>
    <x v="129"/>
    <s v="AM"/>
    <x v="7"/>
  </r>
  <r>
    <d v="2026-06-03T00:00:00"/>
    <x v="89"/>
    <s v="PM"/>
    <x v="4"/>
  </r>
  <r>
    <d v="2026-06-03T00:00:00"/>
    <x v="96"/>
    <s v="PM"/>
    <x v="5"/>
  </r>
  <r>
    <d v="2026-06-03T00:00:00"/>
    <x v="74"/>
    <s v="PM"/>
    <x v="6"/>
  </r>
  <r>
    <d v="2026-06-03T00:00:00"/>
    <x v="76"/>
    <s v="PM"/>
    <x v="6"/>
  </r>
  <r>
    <d v="2026-06-03T00:00:00"/>
    <x v="77"/>
    <s v="PM"/>
    <x v="6"/>
  </r>
  <r>
    <d v="2026-06-03T00:00:00"/>
    <x v="79"/>
    <s v="PM"/>
    <x v="6"/>
  </r>
  <r>
    <d v="2026-06-03T00:00:00"/>
    <x v="80"/>
    <s v="PM"/>
    <x v="6"/>
  </r>
  <r>
    <d v="2026-06-03T00:00:00"/>
    <x v="91"/>
    <s v="PM"/>
    <x v="6"/>
  </r>
  <r>
    <d v="2026-06-03T00:00:00"/>
    <x v="71"/>
    <s v="PM"/>
    <x v="6"/>
  </r>
  <r>
    <d v="2026-06-03T00:00:00"/>
    <x v="68"/>
    <s v="PM"/>
    <x v="6"/>
  </r>
  <r>
    <d v="2026-06-03T00:00:00"/>
    <x v="95"/>
    <s v="PM"/>
    <x v="6"/>
  </r>
  <r>
    <d v="2026-06-03T00:00:00"/>
    <x v="133"/>
    <s v="PM"/>
    <x v="7"/>
  </r>
  <r>
    <d v="2026-06-03T00:00:00"/>
    <x v="59"/>
    <s v="PM"/>
    <x v="7"/>
  </r>
  <r>
    <d v="2026-06-03T00:00:00"/>
    <x v="134"/>
    <s v="PM"/>
    <x v="7"/>
  </r>
  <r>
    <d v="2026-06-03T00:00:00"/>
    <x v="143"/>
    <s v="PM"/>
    <x v="7"/>
  </r>
  <r>
    <d v="2026-06-03T00:00:00"/>
    <x v="78"/>
    <s v="PM"/>
    <x v="7"/>
  </r>
  <r>
    <d v="2026-06-03T00:00:00"/>
    <x v="132"/>
    <s v="PM"/>
    <x v="7"/>
  </r>
  <r>
    <d v="2026-06-03T00:00:00"/>
    <x v="136"/>
    <s v="PM"/>
    <x v="7"/>
  </r>
  <r>
    <d v="2026-06-03T00:00:00"/>
    <x v="145"/>
    <s v="PM"/>
    <x v="7"/>
  </r>
  <r>
    <d v="2026-06-03T00:00:00"/>
    <x v="146"/>
    <s v="PM"/>
    <x v="7"/>
  </r>
  <r>
    <d v="2026-06-03T00:00:00"/>
    <x v="148"/>
    <s v="PM"/>
    <x v="7"/>
  </r>
  <r>
    <d v="2026-06-03T00:00:00"/>
    <x v="88"/>
    <s v="PM"/>
    <x v="7"/>
  </r>
  <r>
    <d v="2026-06-03T00:00:00"/>
    <x v="140"/>
    <s v="PM"/>
    <x v="7"/>
  </r>
  <r>
    <d v="2026-06-03T00:00:00"/>
    <x v="92"/>
    <s v="PM"/>
    <x v="7"/>
  </r>
  <r>
    <d v="2026-06-03T00:00:00"/>
    <x v="154"/>
    <s v="PM"/>
    <x v="7"/>
  </r>
  <r>
    <d v="2026-06-03T00:00:00"/>
    <x v="155"/>
    <s v="PM"/>
    <x v="7"/>
  </r>
  <r>
    <d v="2026-06-03T00:00:00"/>
    <x v="111"/>
    <s v="AM"/>
    <x v="0"/>
  </r>
  <r>
    <d v="2026-06-03T00:00:00"/>
    <x v="103"/>
    <s v="AM"/>
    <x v="0"/>
  </r>
  <r>
    <d v="2026-06-03T00:00:00"/>
    <x v="30"/>
    <s v="DAY"/>
    <x v="0"/>
  </r>
  <r>
    <d v="2026-06-03T00:00:00"/>
    <x v="118"/>
    <s v="AM"/>
    <x v="0"/>
  </r>
  <r>
    <d v="2026-06-03T00:00:00"/>
    <x v="122"/>
    <s v="AM"/>
    <x v="0"/>
  </r>
  <r>
    <d v="2026-06-03T00:00:00"/>
    <x v="108"/>
    <s v="AM"/>
    <x v="0"/>
  </r>
  <r>
    <d v="2026-06-03T00:00:00"/>
    <x v="49"/>
    <s v="AM"/>
    <x v="0"/>
  </r>
  <r>
    <d v="2026-06-03T00:00:00"/>
    <x v="124"/>
    <s v="AM"/>
    <x v="0"/>
  </r>
  <r>
    <d v="2026-06-03T00:00:00"/>
    <x v="125"/>
    <s v="DAY"/>
    <x v="0"/>
  </r>
  <r>
    <d v="2026-06-03T00:00:00"/>
    <x v="130"/>
    <s v="AM"/>
    <x v="0"/>
  </r>
  <r>
    <d v="2026-06-03T00:00:00"/>
    <x v="116"/>
    <s v="AM"/>
    <x v="1"/>
  </r>
  <r>
    <d v="2026-06-03T00:00:00"/>
    <x v="109"/>
    <s v="AM"/>
    <x v="1"/>
  </r>
  <r>
    <d v="2026-06-03T00:00:00"/>
    <x v="6"/>
    <s v="AM"/>
    <x v="1"/>
  </r>
  <r>
    <d v="2026-06-03T00:00:00"/>
    <x v="128"/>
    <s v="AM"/>
    <x v="1"/>
  </r>
  <r>
    <d v="2026-06-03T00:00:00"/>
    <x v="0"/>
    <s v="AM"/>
    <x v="2"/>
  </r>
  <r>
    <d v="2026-06-03T00:00:00"/>
    <x v="16"/>
    <s v="DAY"/>
    <x v="2"/>
  </r>
  <r>
    <d v="2026-06-03T00:00:00"/>
    <x v="17"/>
    <s v="AM"/>
    <x v="2"/>
  </r>
  <r>
    <d v="2026-06-03T00:00:00"/>
    <x v="19"/>
    <s v="AM"/>
    <x v="2"/>
  </r>
  <r>
    <d v="2026-06-03T00:00:00"/>
    <x v="20"/>
    <s v="AM"/>
    <x v="2"/>
  </r>
  <r>
    <d v="2026-06-03T00:00:00"/>
    <x v="112"/>
    <s v="DAY"/>
    <x v="2"/>
  </r>
  <r>
    <d v="2026-06-03T00:00:00"/>
    <x v="22"/>
    <s v="AM"/>
    <x v="2"/>
  </r>
  <r>
    <d v="2026-06-03T00:00:00"/>
    <x v="1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113"/>
    <s v="AM"/>
    <x v="2"/>
  </r>
  <r>
    <d v="2026-06-03T00:00:00"/>
    <x v="27"/>
    <s v="MI-TEMPS"/>
    <x v="2"/>
  </r>
  <r>
    <d v="2026-06-03T00:00:00"/>
    <x v="28"/>
    <s v="AM"/>
    <x v="2"/>
  </r>
  <r>
    <d v="2026-06-03T00:00:00"/>
    <x v="2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117"/>
    <s v="AM"/>
    <x v="2"/>
  </r>
  <r>
    <d v="2026-06-03T00:00:00"/>
    <x v="33"/>
    <s v="AM"/>
    <x v="2"/>
  </r>
  <r>
    <d v="2026-06-03T00:00:00"/>
    <x v="3"/>
    <s v="AM"/>
    <x v="2"/>
  </r>
  <r>
    <d v="2026-06-03T00:00:00"/>
    <x v="34"/>
    <s v="AM"/>
    <x v="2"/>
  </r>
  <r>
    <d v="2026-06-03T00:00:00"/>
    <x v="12"/>
    <s v="AM"/>
    <x v="2"/>
  </r>
  <r>
    <d v="2026-06-03T00:00:00"/>
    <x v="119"/>
    <s v="AM"/>
    <x v="2"/>
  </r>
  <r>
    <d v="2026-06-03T00:00:00"/>
    <x v="36"/>
    <s v="AM"/>
    <x v="2"/>
  </r>
  <r>
    <d v="2026-06-03T00:00:00"/>
    <x v="38"/>
    <s v="AM"/>
    <x v="2"/>
  </r>
  <r>
    <d v="2026-06-03T00:00:00"/>
    <x v="4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107"/>
    <s v="AM"/>
    <x v="2"/>
  </r>
  <r>
    <d v="2026-06-03T00:00:00"/>
    <x v="46"/>
    <s v="MI-TEMPS"/>
    <x v="2"/>
  </r>
  <r>
    <d v="2026-06-03T00:00:00"/>
    <x v="47"/>
    <s v="AM"/>
    <x v="2"/>
  </r>
  <r>
    <d v="2026-06-03T00:00:00"/>
    <x v="50"/>
    <s v="AM"/>
    <x v="2"/>
  </r>
  <r>
    <d v="2026-06-03T00:00:00"/>
    <x v="123"/>
    <s v="AM"/>
    <x v="2"/>
  </r>
  <r>
    <d v="2026-06-03T00:00:00"/>
    <x v="5"/>
    <s v="AM"/>
    <x v="2"/>
  </r>
  <r>
    <d v="2026-06-03T00:00:00"/>
    <x v="8"/>
    <s v="AM"/>
    <x v="2"/>
  </r>
  <r>
    <d v="2026-06-03T00:00:00"/>
    <x v="51"/>
    <s v="DAY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133"/>
    <s v="PM"/>
    <x v="0"/>
  </r>
  <r>
    <d v="2026-06-03T00:00:00"/>
    <x v="135"/>
    <s v="PM"/>
    <x v="0"/>
  </r>
  <r>
    <d v="2026-06-03T00:00:00"/>
    <x v="148"/>
    <s v="PM"/>
    <x v="0"/>
  </r>
  <r>
    <d v="2026-06-03T00:00:00"/>
    <x v="150"/>
    <s v="PM"/>
    <x v="0"/>
  </r>
  <r>
    <d v="2026-06-03T00:00:00"/>
    <x v="151"/>
    <s v="PM"/>
    <x v="0"/>
  </r>
  <r>
    <d v="2026-06-03T00:00:00"/>
    <x v="152"/>
    <s v="PM"/>
    <x v="0"/>
  </r>
  <r>
    <d v="2026-06-03T00:00:00"/>
    <x v="140"/>
    <s v="PM"/>
    <x v="0"/>
  </r>
  <r>
    <d v="2026-06-03T00:00:00"/>
    <x v="154"/>
    <s v="PM"/>
    <x v="0"/>
  </r>
  <r>
    <d v="2026-06-03T00:00:00"/>
    <x v="141"/>
    <s v="PM"/>
    <x v="0"/>
  </r>
  <r>
    <d v="2026-06-03T00:00:00"/>
    <x v="156"/>
    <s v="PM"/>
    <x v="0"/>
  </r>
  <r>
    <d v="2026-06-03T00:00:00"/>
    <x v="142"/>
    <s v="PM"/>
    <x v="1"/>
  </r>
  <r>
    <d v="2026-06-03T00:00:00"/>
    <x v="132"/>
    <s v="PM"/>
    <x v="1"/>
  </r>
  <r>
    <d v="2026-06-03T00:00:00"/>
    <x v="145"/>
    <s v="PM"/>
    <x v="1"/>
  </r>
  <r>
    <d v="2026-06-03T00:00:00"/>
    <x v="139"/>
    <s v="PM"/>
    <x v="1"/>
  </r>
  <r>
    <d v="2026-06-03T00:00:00"/>
    <x v="59"/>
    <s v="PM"/>
    <x v="2"/>
  </r>
  <r>
    <d v="2026-06-03T00:00:00"/>
    <x v="75"/>
    <s v="PM"/>
    <x v="2"/>
  </r>
  <r>
    <d v="2026-06-03T00:00:00"/>
    <x v="60"/>
    <s v="PM"/>
    <x v="2"/>
  </r>
  <r>
    <d v="2026-06-03T00:00:00"/>
    <x v="77"/>
    <s v="PM"/>
    <x v="2"/>
  </r>
  <r>
    <d v="2026-06-03T00:00:00"/>
    <x v="61"/>
    <s v="PM"/>
    <x v="2"/>
  </r>
  <r>
    <d v="2026-06-03T00:00:00"/>
    <x v="62"/>
    <s v="PM"/>
    <x v="2"/>
  </r>
  <r>
    <d v="2026-06-03T00:00:00"/>
    <x v="82"/>
    <s v="PM"/>
    <x v="2"/>
  </r>
  <r>
    <d v="2026-06-03T00:00:00"/>
    <x v="138"/>
    <s v="PM"/>
    <x v="2"/>
  </r>
  <r>
    <d v="2026-06-03T00:00:00"/>
    <x v="63"/>
    <s v="PM"/>
    <x v="2"/>
  </r>
  <r>
    <d v="2026-06-03T00:00:00"/>
    <x v="149"/>
    <s v="PM"/>
    <x v="2"/>
  </r>
  <r>
    <d v="2026-06-03T00:00:00"/>
    <x v="64"/>
    <s v="PM"/>
    <x v="2"/>
  </r>
  <r>
    <d v="2026-06-03T00:00:00"/>
    <x v="84"/>
    <s v="PM"/>
    <x v="2"/>
  </r>
  <r>
    <d v="2026-06-03T00:00:00"/>
    <x v="85"/>
    <s v="PM"/>
    <x v="2"/>
  </r>
  <r>
    <d v="2026-06-03T00:00:00"/>
    <x v="87"/>
    <s v="PM"/>
    <x v="2"/>
  </r>
  <r>
    <d v="2026-06-03T00:00:00"/>
    <x v="90"/>
    <s v="PM"/>
    <x v="2"/>
  </r>
  <r>
    <d v="2026-06-03T00:00:00"/>
    <x v="91"/>
    <s v="PM"/>
    <x v="2"/>
  </r>
  <r>
    <d v="2026-06-03T00:00:00"/>
    <x v="70"/>
    <s v="PM"/>
    <x v="2"/>
  </r>
  <r>
    <d v="2026-06-03T00:00:00"/>
    <x v="71"/>
    <s v="PM"/>
    <x v="2"/>
  </r>
  <r>
    <d v="2026-06-03T00:00:00"/>
    <x v="68"/>
    <s v="PM"/>
    <x v="2"/>
  </r>
  <r>
    <d v="2026-06-03T00:00:00"/>
    <x v="92"/>
    <s v="PM"/>
    <x v="2"/>
  </r>
  <r>
    <d v="2026-06-03T00:00:00"/>
    <x v="93"/>
    <s v="PM"/>
    <x v="2"/>
  </r>
  <r>
    <d v="2026-06-03T00:00:00"/>
    <x v="94"/>
    <s v="PM"/>
    <x v="2"/>
  </r>
  <r>
    <d v="2026-06-03T00:00:00"/>
    <x v="95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1"/>
    <s v="AM"/>
    <x v="4"/>
  </r>
  <r>
    <d v="2026-06-03T00:00:00"/>
    <x v="10"/>
    <s v="AM"/>
    <x v="5"/>
  </r>
  <r>
    <d v="2026-06-03T00:00:00"/>
    <x v="14"/>
    <s v="AM"/>
    <x v="5"/>
  </r>
  <r>
    <d v="2026-06-03T00:00:00"/>
    <x v="15"/>
    <s v="AM"/>
    <x v="5"/>
  </r>
  <r>
    <d v="2026-06-03T00:00:00"/>
    <x v="104"/>
    <s v="AM"/>
    <x v="5"/>
  </r>
  <r>
    <d v="2026-06-03T00:00:00"/>
    <x v="110"/>
    <s v="AM"/>
    <x v="5"/>
  </r>
  <r>
    <d v="2026-06-03T00:00:00"/>
    <x v="18"/>
    <s v="AM"/>
    <x v="5"/>
  </r>
  <r>
    <d v="2026-06-03T00:00:00"/>
    <x v="105"/>
    <s v="AM"/>
    <x v="5"/>
  </r>
  <r>
    <d v="2026-06-03T00:00:00"/>
    <x v="21"/>
    <s v="AM"/>
    <x v="5"/>
  </r>
  <r>
    <d v="2026-06-03T00:00:00"/>
    <x v="106"/>
    <s v="AM"/>
    <x v="5"/>
  </r>
  <r>
    <d v="2026-06-03T00:00:00"/>
    <x v="26"/>
    <s v="AM"/>
    <x v="5"/>
  </r>
  <r>
    <d v="2026-06-03T00:00:00"/>
    <x v="115"/>
    <s v="AM"/>
    <x v="5"/>
  </r>
  <r>
    <d v="2026-06-03T00:00:00"/>
    <x v="29"/>
    <s v="AM"/>
    <x v="5"/>
  </r>
  <r>
    <d v="2026-06-03T00:00:00"/>
    <x v="35"/>
    <s v="AM"/>
    <x v="5"/>
  </r>
  <r>
    <d v="2026-06-03T00:00:00"/>
    <x v="120"/>
    <s v="AM"/>
    <x v="5"/>
  </r>
  <r>
    <d v="2026-06-03T00:00:00"/>
    <x v="121"/>
    <s v="AM"/>
    <x v="5"/>
  </r>
  <r>
    <d v="2026-06-03T00:00:00"/>
    <x v="39"/>
    <s v="AM"/>
    <x v="5"/>
  </r>
  <r>
    <d v="2026-06-03T00:00:00"/>
    <x v="40"/>
    <s v="AM"/>
    <x v="5"/>
  </r>
  <r>
    <d v="2026-06-03T00:00:00"/>
    <x v="13"/>
    <s v="AM"/>
    <x v="5"/>
  </r>
  <r>
    <d v="2026-06-03T00:00:00"/>
    <x v="102"/>
    <s v="AM"/>
    <x v="5"/>
  </r>
  <r>
    <d v="2026-06-03T00:00:00"/>
    <x v="7"/>
    <s v="AM"/>
    <x v="5"/>
  </r>
  <r>
    <d v="2026-06-03T00:00:00"/>
    <x v="9"/>
    <s v="AM"/>
    <x v="5"/>
  </r>
  <r>
    <d v="2026-06-03T00:00:00"/>
    <x v="52"/>
    <s v="AM"/>
    <x v="5"/>
  </r>
  <r>
    <d v="2026-06-03T00:00:00"/>
    <x v="126"/>
    <s v="AM"/>
    <x v="5"/>
  </r>
  <r>
    <d v="2026-06-03T00:00:00"/>
    <x v="127"/>
    <s v="AM"/>
    <x v="5"/>
  </r>
  <r>
    <d v="2026-06-03T00:00:00"/>
    <x v="129"/>
    <s v="AM"/>
    <x v="5"/>
  </r>
  <r>
    <d v="2026-06-03T00:00:00"/>
    <x v="114"/>
    <s v="DAY"/>
    <x v="6"/>
  </r>
  <r>
    <d v="2026-06-03T00:00:00"/>
    <x v="37"/>
    <s v="DAY"/>
    <x v="6"/>
  </r>
  <r>
    <d v="2026-06-03T00:00:00"/>
    <x v="48"/>
    <s v="MI-TEMPS"/>
    <x v="6"/>
  </r>
  <r>
    <d v="2026-06-03T00:00:00"/>
    <x v="134"/>
    <s v="PM"/>
    <x v="4"/>
  </r>
  <r>
    <d v="2026-06-03T00:00:00"/>
    <x v="89"/>
    <s v="PM"/>
    <x v="5"/>
  </r>
  <r>
    <d v="2026-06-03T00:00:00"/>
    <x v="73"/>
    <s v="PM"/>
    <x v="6"/>
  </r>
  <r>
    <d v="2026-06-03T00:00:00"/>
    <x v="79"/>
    <s v="PM"/>
    <x v="6"/>
  </r>
  <r>
    <d v="2026-06-03T00:00:00"/>
    <x v="81"/>
    <s v="PM"/>
    <x v="6"/>
  </r>
  <r>
    <d v="2026-06-03T00:00:00"/>
    <x v="83"/>
    <s v="PM"/>
    <x v="6"/>
  </r>
  <r>
    <d v="2026-06-03T00:00:00"/>
    <x v="65"/>
    <s v="PM"/>
    <x v="6"/>
  </r>
  <r>
    <d v="2026-06-03T00:00:00"/>
    <x v="86"/>
    <s v="PM"/>
    <x v="6"/>
  </r>
  <r>
    <d v="2026-06-03T00:00:00"/>
    <x v="69"/>
    <s v="PM"/>
    <x v="6"/>
  </r>
  <r>
    <d v="2026-06-03T00:00:00"/>
    <x v="67"/>
    <s v="PM"/>
    <x v="6"/>
  </r>
  <r>
    <d v="2026-06-03T00:00:00"/>
    <x v="72"/>
    <s v="PM"/>
    <x v="6"/>
  </r>
  <r>
    <d v="2026-06-03T00:00:00"/>
    <x v="74"/>
    <s v="PM"/>
    <x v="7"/>
  </r>
  <r>
    <d v="2026-06-03T00:00:00"/>
    <x v="143"/>
    <s v="PM"/>
    <x v="7"/>
  </r>
  <r>
    <d v="2026-06-03T00:00:00"/>
    <x v="76"/>
    <s v="PM"/>
    <x v="7"/>
  </r>
  <r>
    <d v="2026-06-03T00:00:00"/>
    <x v="78"/>
    <s v="PM"/>
    <x v="7"/>
  </r>
  <r>
    <d v="2026-06-03T00:00:00"/>
    <x v="136"/>
    <s v="PM"/>
    <x v="7"/>
  </r>
  <r>
    <d v="2026-06-03T00:00:00"/>
    <x v="80"/>
    <s v="PM"/>
    <x v="7"/>
  </r>
  <r>
    <d v="2026-06-03T00:00:00"/>
    <x v="144"/>
    <s v="PM"/>
    <x v="7"/>
  </r>
  <r>
    <d v="2026-06-03T00:00:00"/>
    <x v="137"/>
    <s v="PM"/>
    <x v="7"/>
  </r>
  <r>
    <d v="2026-06-03T00:00:00"/>
    <x v="146"/>
    <s v="PM"/>
    <x v="7"/>
  </r>
  <r>
    <d v="2026-06-03T00:00:00"/>
    <x v="147"/>
    <s v="PM"/>
    <x v="7"/>
  </r>
  <r>
    <d v="2026-06-03T00:00:00"/>
    <x v="66"/>
    <s v="PM"/>
    <x v="7"/>
  </r>
  <r>
    <d v="2026-06-03T00:00:00"/>
    <x v="88"/>
    <s v="PM"/>
    <x v="7"/>
  </r>
  <r>
    <d v="2026-06-03T00:00:00"/>
    <x v="153"/>
    <s v="PM"/>
    <x v="7"/>
  </r>
  <r>
    <d v="2026-06-03T00:00:00"/>
    <x v="155"/>
    <s v="PM"/>
    <x v="7"/>
  </r>
  <r>
    <d v="2026-06-03T00:00:00"/>
    <x v="131"/>
    <s v="PM"/>
    <x v="7"/>
  </r>
  <r>
    <d v="2026-06-03T00:00:00"/>
    <x v="104"/>
    <s v="AM"/>
    <x v="0"/>
  </r>
  <r>
    <d v="2026-06-03T00:00:00"/>
    <x v="110"/>
    <s v="AM"/>
    <x v="0"/>
  </r>
  <r>
    <d v="2026-06-03T00:00:00"/>
    <x v="22"/>
    <s v="AM"/>
    <x v="0"/>
  </r>
  <r>
    <d v="2026-06-03T00:00:00"/>
    <x v="114"/>
    <s v="DAY"/>
    <x v="0"/>
  </r>
  <r>
    <d v="2026-06-03T00:00:00"/>
    <x v="115"/>
    <s v="AM"/>
    <x v="0"/>
  </r>
  <r>
    <d v="2026-06-03T00:00:00"/>
    <x v="35"/>
    <s v="AM"/>
    <x v="0"/>
  </r>
  <r>
    <d v="2026-06-03T00:00:00"/>
    <x v="120"/>
    <s v="AM"/>
    <x v="0"/>
  </r>
  <r>
    <d v="2026-06-03T00:00:00"/>
    <x v="44"/>
    <s v="MI-TEMPS"/>
    <x v="0"/>
  </r>
  <r>
    <d v="2026-06-03T00:00:00"/>
    <x v="109"/>
    <s v="AM"/>
    <x v="0"/>
  </r>
  <r>
    <d v="2026-06-03T00:00:00"/>
    <x v="128"/>
    <s v="AM"/>
    <x v="0"/>
  </r>
  <r>
    <d v="2026-06-03T00:00:00"/>
    <x v="1"/>
    <s v="AM"/>
    <x v="1"/>
  </r>
  <r>
    <d v="2026-06-03T00:00:00"/>
    <x v="121"/>
    <s v="AM"/>
    <x v="1"/>
  </r>
  <r>
    <d v="2026-06-03T00:00:00"/>
    <x v="122"/>
    <s v="AM"/>
    <x v="1"/>
  </r>
  <r>
    <d v="2026-06-03T00:00:00"/>
    <x v="53"/>
    <s v="MI-TEMPS"/>
    <x v="1"/>
  </r>
  <r>
    <d v="2026-06-03T00:00:00"/>
    <x v="10"/>
    <s v="AM"/>
    <x v="2"/>
  </r>
  <r>
    <d v="2026-06-03T00:00:00"/>
    <x v="14"/>
    <s v="AM"/>
    <x v="2"/>
  </r>
  <r>
    <d v="2026-06-03T00:00:00"/>
    <x v="16"/>
    <s v="DAY"/>
    <x v="2"/>
  </r>
  <r>
    <d v="2026-06-03T00:00:00"/>
    <x v="18"/>
    <s v="AM"/>
    <x v="2"/>
  </r>
  <r>
    <d v="2026-06-03T00:00:00"/>
    <x v="111"/>
    <s v="AM"/>
    <x v="2"/>
  </r>
  <r>
    <d v="2026-06-03T00:00:00"/>
    <x v="20"/>
    <s v="AM"/>
    <x v="2"/>
  </r>
  <r>
    <d v="2026-06-03T00:00:00"/>
    <x v="103"/>
    <s v="AM"/>
    <x v="2"/>
  </r>
  <r>
    <d v="2026-06-03T00:00:00"/>
    <x v="112"/>
    <s v="DAY"/>
    <x v="2"/>
  </r>
  <r>
    <d v="2026-06-03T00:00:00"/>
    <x v="106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28"/>
    <s v="AM"/>
    <x v="2"/>
  </r>
  <r>
    <d v="2026-06-03T00:00:00"/>
    <x v="29"/>
    <s v="AM"/>
    <x v="2"/>
  </r>
  <r>
    <d v="2026-06-03T00:00:00"/>
    <x v="30"/>
    <s v="DAY"/>
    <x v="2"/>
  </r>
  <r>
    <d v="2026-06-03T00:00:00"/>
    <x v="2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4"/>
    <s v="AM"/>
    <x v="2"/>
  </r>
  <r>
    <d v="2026-06-03T00:00:00"/>
    <x v="12"/>
    <s v="AM"/>
    <x v="2"/>
  </r>
  <r>
    <d v="2026-06-03T00:00:00"/>
    <x v="36"/>
    <s v="AM"/>
    <x v="2"/>
  </r>
  <r>
    <d v="2026-06-03T00:00:00"/>
    <x v="40"/>
    <s v="AM"/>
    <x v="2"/>
  </r>
  <r>
    <d v="2026-06-03T00:00:00"/>
    <x v="4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5"/>
    <s v="DAY"/>
    <x v="2"/>
  </r>
  <r>
    <d v="2026-06-03T00:00:00"/>
    <x v="102"/>
    <s v="AM"/>
    <x v="2"/>
  </r>
  <r>
    <d v="2026-06-03T00:00:00"/>
    <x v="48"/>
    <s v="MI-TEMPS"/>
    <x v="2"/>
  </r>
  <r>
    <d v="2026-06-03T00:00:00"/>
    <x v="49"/>
    <s v="AM"/>
    <x v="2"/>
  </r>
  <r>
    <d v="2026-06-03T00:00:00"/>
    <x v="123"/>
    <s v="AM"/>
    <x v="2"/>
  </r>
  <r>
    <d v="2026-06-03T00:00:00"/>
    <x v="5"/>
    <s v="AM"/>
    <x v="2"/>
  </r>
  <r>
    <d v="2026-06-03T00:00:00"/>
    <x v="6"/>
    <s v="AM"/>
    <x v="2"/>
  </r>
  <r>
    <d v="2026-06-03T00:00:00"/>
    <x v="7"/>
    <s v="AM"/>
    <x v="2"/>
  </r>
  <r>
    <d v="2026-06-03T00:00:00"/>
    <x v="9"/>
    <s v="AM"/>
    <x v="2"/>
  </r>
  <r>
    <d v="2026-06-03T00:00:00"/>
    <x v="51"/>
    <s v="DAY"/>
    <x v="2"/>
  </r>
  <r>
    <d v="2026-06-03T00:00:00"/>
    <x v="52"/>
    <s v="AM"/>
    <x v="2"/>
  </r>
  <r>
    <d v="2026-06-03T00:00:00"/>
    <x v="125"/>
    <s v="DAY"/>
    <x v="2"/>
  </r>
  <r>
    <d v="2026-06-03T00:00:00"/>
    <x v="126"/>
    <s v="AM"/>
    <x v="2"/>
  </r>
  <r>
    <d v="2026-06-03T00:00:00"/>
    <x v="129"/>
    <s v="AM"/>
    <x v="2"/>
  </r>
  <r>
    <d v="2026-06-03T00:00:00"/>
    <x v="54"/>
    <s v="DAY"/>
    <x v="2"/>
  </r>
  <r>
    <d v="2026-06-03T00:00:00"/>
    <x v="130"/>
    <s v="AM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134"/>
    <s v="PM"/>
    <x v="0"/>
  </r>
  <r>
    <d v="2026-06-03T00:00:00"/>
    <x v="132"/>
    <s v="PM"/>
    <x v="0"/>
  </r>
  <r>
    <d v="2026-06-03T00:00:00"/>
    <x v="136"/>
    <s v="PM"/>
    <x v="0"/>
  </r>
  <r>
    <d v="2026-06-03T00:00:00"/>
    <x v="144"/>
    <s v="PM"/>
    <x v="0"/>
  </r>
  <r>
    <d v="2026-06-03T00:00:00"/>
    <x v="145"/>
    <s v="PM"/>
    <x v="0"/>
  </r>
  <r>
    <d v="2026-06-03T00:00:00"/>
    <x v="146"/>
    <s v="PM"/>
    <x v="0"/>
  </r>
  <r>
    <d v="2026-06-03T00:00:00"/>
    <x v="138"/>
    <s v="PM"/>
    <x v="0"/>
  </r>
  <r>
    <d v="2026-06-03T00:00:00"/>
    <x v="151"/>
    <s v="PM"/>
    <x v="0"/>
  </r>
  <r>
    <d v="2026-06-03T00:00:00"/>
    <x v="154"/>
    <s v="PM"/>
    <x v="0"/>
  </r>
  <r>
    <d v="2026-06-03T00:00:00"/>
    <x v="156"/>
    <s v="PM"/>
    <x v="0"/>
  </r>
  <r>
    <d v="2026-06-03T00:00:00"/>
    <x v="133"/>
    <s v="PM"/>
    <x v="1"/>
  </r>
  <r>
    <d v="2026-06-03T00:00:00"/>
    <x v="135"/>
    <s v="PM"/>
    <x v="1"/>
  </r>
  <r>
    <d v="2026-06-03T00:00:00"/>
    <x v="142"/>
    <s v="PM"/>
    <x v="1"/>
  </r>
  <r>
    <d v="2026-06-03T00:00:00"/>
    <x v="63"/>
    <s v="PM"/>
    <x v="1"/>
  </r>
  <r>
    <d v="2026-06-03T00:00:00"/>
    <x v="73"/>
    <s v="PM"/>
    <x v="2"/>
  </r>
  <r>
    <d v="2026-06-03T00:00:00"/>
    <x v="75"/>
    <s v="PM"/>
    <x v="2"/>
  </r>
  <r>
    <d v="2026-06-03T00:00:00"/>
    <x v="60"/>
    <s v="PM"/>
    <x v="2"/>
  </r>
  <r>
    <d v="2026-06-03T00:00:00"/>
    <x v="78"/>
    <s v="PM"/>
    <x v="2"/>
  </r>
  <r>
    <d v="2026-06-03T00:00:00"/>
    <x v="61"/>
    <s v="PM"/>
    <x v="2"/>
  </r>
  <r>
    <d v="2026-06-03T00:00:00"/>
    <x v="80"/>
    <s v="PM"/>
    <x v="2"/>
  </r>
  <r>
    <d v="2026-06-03T00:00:00"/>
    <x v="81"/>
    <s v="PM"/>
    <x v="2"/>
  </r>
  <r>
    <d v="2026-06-03T00:00:00"/>
    <x v="82"/>
    <s v="PM"/>
    <x v="2"/>
  </r>
  <r>
    <d v="2026-06-03T00:00:00"/>
    <x v="83"/>
    <s v="PM"/>
    <x v="2"/>
  </r>
  <r>
    <d v="2026-06-03T00:00:00"/>
    <x v="64"/>
    <s v="PM"/>
    <x v="2"/>
  </r>
  <r>
    <d v="2026-06-03T00:00:00"/>
    <x v="65"/>
    <s v="PM"/>
    <x v="2"/>
  </r>
  <r>
    <d v="2026-06-03T00:00:00"/>
    <x v="84"/>
    <s v="PM"/>
    <x v="2"/>
  </r>
  <r>
    <d v="2026-06-03T00:00:00"/>
    <x v="85"/>
    <s v="PM"/>
    <x v="2"/>
  </r>
  <r>
    <d v="2026-06-03T00:00:00"/>
    <x v="152"/>
    <s v="PM"/>
    <x v="2"/>
  </r>
  <r>
    <d v="2026-06-03T00:00:00"/>
    <x v="87"/>
    <s v="PM"/>
    <x v="2"/>
  </r>
  <r>
    <d v="2026-06-03T00:00:00"/>
    <x v="88"/>
    <s v="PM"/>
    <x v="2"/>
  </r>
  <r>
    <d v="2026-06-03T00:00:00"/>
    <x v="89"/>
    <s v="PM"/>
    <x v="2"/>
  </r>
  <r>
    <d v="2026-06-03T00:00:00"/>
    <x v="67"/>
    <s v="PM"/>
    <x v="2"/>
  </r>
  <r>
    <d v="2026-06-03T00:00:00"/>
    <x v="70"/>
    <s v="PM"/>
    <x v="2"/>
  </r>
  <r>
    <d v="2026-06-03T00:00:00"/>
    <x v="68"/>
    <s v="PM"/>
    <x v="2"/>
  </r>
  <r>
    <d v="2026-06-03T00:00:00"/>
    <x v="92"/>
    <s v="PM"/>
    <x v="2"/>
  </r>
  <r>
    <d v="2026-06-03T00:00:00"/>
    <x v="72"/>
    <s v="PM"/>
    <x v="2"/>
  </r>
  <r>
    <d v="2026-06-03T00:00:00"/>
    <x v="153"/>
    <s v="PM"/>
    <x v="2"/>
  </r>
  <r>
    <d v="2026-06-03T00:00:00"/>
    <x v="94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41"/>
    <s v="AM"/>
    <x v="4"/>
  </r>
  <r>
    <d v="2026-06-03T00:00:00"/>
    <x v="0"/>
    <s v="AM"/>
    <x v="5"/>
  </r>
  <r>
    <d v="2026-06-03T00:00:00"/>
    <x v="15"/>
    <s v="AM"/>
    <x v="5"/>
  </r>
  <r>
    <d v="2026-06-03T00:00:00"/>
    <x v="17"/>
    <s v="AM"/>
    <x v="5"/>
  </r>
  <r>
    <d v="2026-06-03T00:00:00"/>
    <x v="105"/>
    <s v="AM"/>
    <x v="5"/>
  </r>
  <r>
    <d v="2026-06-03T00:00:00"/>
    <x v="19"/>
    <s v="AM"/>
    <x v="5"/>
  </r>
  <r>
    <d v="2026-06-03T00:00:00"/>
    <x v="21"/>
    <s v="AM"/>
    <x v="5"/>
  </r>
  <r>
    <d v="2026-06-03T00:00:00"/>
    <x v="23"/>
    <s v="AM"/>
    <x v="5"/>
  </r>
  <r>
    <d v="2026-06-03T00:00:00"/>
    <x v="113"/>
    <s v="AM"/>
    <x v="5"/>
  </r>
  <r>
    <d v="2026-06-03T00:00:00"/>
    <x v="11"/>
    <s v="AM"/>
    <x v="5"/>
  </r>
  <r>
    <d v="2026-06-03T00:00:00"/>
    <x v="31"/>
    <s v="AM"/>
    <x v="5"/>
  </r>
  <r>
    <d v="2026-06-03T00:00:00"/>
    <x v="116"/>
    <s v="AM"/>
    <x v="5"/>
  </r>
  <r>
    <d v="2026-06-03T00:00:00"/>
    <x v="117"/>
    <s v="AM"/>
    <x v="5"/>
  </r>
  <r>
    <d v="2026-06-03T00:00:00"/>
    <x v="118"/>
    <s v="AM"/>
    <x v="5"/>
  </r>
  <r>
    <d v="2026-06-03T00:00:00"/>
    <x v="3"/>
    <s v="AM"/>
    <x v="5"/>
  </r>
  <r>
    <d v="2026-06-03T00:00:00"/>
    <x v="119"/>
    <s v="AM"/>
    <x v="5"/>
  </r>
  <r>
    <d v="2026-06-03T00:00:00"/>
    <x v="38"/>
    <s v="AM"/>
    <x v="5"/>
  </r>
  <r>
    <d v="2026-06-03T00:00:00"/>
    <x v="39"/>
    <s v="AM"/>
    <x v="5"/>
  </r>
  <r>
    <d v="2026-06-03T00:00:00"/>
    <x v="13"/>
    <s v="AM"/>
    <x v="5"/>
  </r>
  <r>
    <d v="2026-06-03T00:00:00"/>
    <x v="107"/>
    <s v="AM"/>
    <x v="5"/>
  </r>
  <r>
    <d v="2026-06-03T00:00:00"/>
    <x v="47"/>
    <s v="AM"/>
    <x v="5"/>
  </r>
  <r>
    <d v="2026-06-03T00:00:00"/>
    <x v="108"/>
    <s v="AM"/>
    <x v="5"/>
  </r>
  <r>
    <d v="2026-06-03T00:00:00"/>
    <x v="50"/>
    <s v="AM"/>
    <x v="5"/>
  </r>
  <r>
    <d v="2026-06-03T00:00:00"/>
    <x v="8"/>
    <s v="AM"/>
    <x v="5"/>
  </r>
  <r>
    <d v="2026-06-03T00:00:00"/>
    <x v="124"/>
    <s v="AM"/>
    <x v="5"/>
  </r>
  <r>
    <d v="2026-06-03T00:00:00"/>
    <x v="127"/>
    <s v="AM"/>
    <x v="5"/>
  </r>
  <r>
    <d v="2026-06-03T00:00:00"/>
    <x v="27"/>
    <s v="MI-TEMPS"/>
    <x v="6"/>
  </r>
  <r>
    <d v="2026-06-03T00:00:00"/>
    <x v="37"/>
    <s v="DAY"/>
    <x v="6"/>
  </r>
  <r>
    <d v="2026-06-03T00:00:00"/>
    <x v="46"/>
    <s v="MI-TEMPS"/>
    <x v="6"/>
  </r>
  <r>
    <d v="2026-06-03T00:00:00"/>
    <x v="59"/>
    <s v="PM"/>
    <x v="4"/>
  </r>
  <r>
    <d v="2026-06-03T00:00:00"/>
    <x v="62"/>
    <s v="PM"/>
    <x v="5"/>
  </r>
  <r>
    <d v="2026-06-03T00:00:00"/>
    <x v="79"/>
    <s v="PM"/>
    <x v="6"/>
  </r>
  <r>
    <d v="2026-06-03T00:00:00"/>
    <x v="66"/>
    <s v="PM"/>
    <x v="6"/>
  </r>
  <r>
    <d v="2026-06-03T00:00:00"/>
    <x v="90"/>
    <s v="PM"/>
    <x v="6"/>
  </r>
  <r>
    <d v="2026-06-03T00:00:00"/>
    <x v="69"/>
    <s v="PM"/>
    <x v="6"/>
  </r>
  <r>
    <d v="2026-06-03T00:00:00"/>
    <x v="91"/>
    <s v="PM"/>
    <x v="6"/>
  </r>
  <r>
    <d v="2026-06-03T00:00:00"/>
    <x v="71"/>
    <s v="PM"/>
    <x v="6"/>
  </r>
  <r>
    <d v="2026-06-03T00:00:00"/>
    <x v="93"/>
    <s v="PM"/>
    <x v="6"/>
  </r>
  <r>
    <d v="2026-06-03T00:00:00"/>
    <x v="95"/>
    <s v="PM"/>
    <x v="6"/>
  </r>
  <r>
    <d v="2026-06-03T00:00:00"/>
    <x v="96"/>
    <s v="PM"/>
    <x v="6"/>
  </r>
  <r>
    <d v="2026-06-03T00:00:00"/>
    <x v="74"/>
    <s v="PM"/>
    <x v="7"/>
  </r>
  <r>
    <d v="2026-06-03T00:00:00"/>
    <x v="143"/>
    <s v="PM"/>
    <x v="7"/>
  </r>
  <r>
    <d v="2026-06-03T00:00:00"/>
    <x v="76"/>
    <s v="PM"/>
    <x v="7"/>
  </r>
  <r>
    <d v="2026-06-03T00:00:00"/>
    <x v="77"/>
    <s v="PM"/>
    <x v="7"/>
  </r>
  <r>
    <d v="2026-06-03T00:00:00"/>
    <x v="137"/>
    <s v="PM"/>
    <x v="7"/>
  </r>
  <r>
    <d v="2026-06-03T00:00:00"/>
    <x v="147"/>
    <s v="PM"/>
    <x v="7"/>
  </r>
  <r>
    <d v="2026-06-03T00:00:00"/>
    <x v="148"/>
    <s v="PM"/>
    <x v="7"/>
  </r>
  <r>
    <d v="2026-06-03T00:00:00"/>
    <x v="139"/>
    <s v="PM"/>
    <x v="7"/>
  </r>
  <r>
    <d v="2026-06-03T00:00:00"/>
    <x v="149"/>
    <s v="PM"/>
    <x v="7"/>
  </r>
  <r>
    <d v="2026-06-03T00:00:00"/>
    <x v="150"/>
    <s v="PM"/>
    <x v="7"/>
  </r>
  <r>
    <d v="2026-06-03T00:00:00"/>
    <x v="86"/>
    <s v="PM"/>
    <x v="7"/>
  </r>
  <r>
    <d v="2026-06-03T00:00:00"/>
    <x v="140"/>
    <s v="PM"/>
    <x v="7"/>
  </r>
  <r>
    <d v="2026-06-03T00:00:00"/>
    <x v="141"/>
    <s v="PM"/>
    <x v="7"/>
  </r>
  <r>
    <d v="2026-06-03T00:00:00"/>
    <x v="155"/>
    <s v="PM"/>
    <x v="7"/>
  </r>
  <r>
    <d v="2026-06-03T00:00:00"/>
    <x v="131"/>
    <s v="PM"/>
    <x v="7"/>
  </r>
  <r>
    <d v="2026-06-03T00:00:00"/>
    <x v="16"/>
    <s v="DAY"/>
    <x v="0"/>
  </r>
  <r>
    <d v="2026-06-03T00:00:00"/>
    <x v="105"/>
    <s v="AM"/>
    <x v="0"/>
  </r>
  <r>
    <d v="2026-06-03T00:00:00"/>
    <x v="19"/>
    <s v="AM"/>
    <x v="0"/>
  </r>
  <r>
    <d v="2026-06-03T00:00:00"/>
    <x v="113"/>
    <s v="AM"/>
    <x v="0"/>
  </r>
  <r>
    <d v="2026-06-03T00:00:00"/>
    <x v="27"/>
    <s v="MI-TEMPS"/>
    <x v="0"/>
  </r>
  <r>
    <d v="2026-06-03T00:00:00"/>
    <x v="28"/>
    <s v="AM"/>
    <x v="0"/>
  </r>
  <r>
    <d v="2026-06-03T00:00:00"/>
    <x v="116"/>
    <s v="AM"/>
    <x v="0"/>
  </r>
  <r>
    <d v="2026-06-03T00:00:00"/>
    <x v="117"/>
    <s v="AM"/>
    <x v="0"/>
  </r>
  <r>
    <d v="2026-06-03T00:00:00"/>
    <x v="119"/>
    <s v="AM"/>
    <x v="0"/>
  </r>
  <r>
    <d v="2026-06-03T00:00:00"/>
    <x v="127"/>
    <s v="AM"/>
    <x v="0"/>
  </r>
  <r>
    <d v="2026-06-03T00:00:00"/>
    <x v="104"/>
    <s v="AM"/>
    <x v="1"/>
  </r>
  <r>
    <d v="2026-06-03T00:00:00"/>
    <x v="29"/>
    <s v="AM"/>
    <x v="1"/>
  </r>
  <r>
    <d v="2026-06-03T00:00:00"/>
    <x v="102"/>
    <s v="AM"/>
    <x v="1"/>
  </r>
  <r>
    <d v="2026-06-03T00:00:00"/>
    <x v="124"/>
    <s v="AM"/>
    <x v="1"/>
  </r>
  <r>
    <d v="2026-06-03T00:00:00"/>
    <x v="10"/>
    <s v="AM"/>
    <x v="2"/>
  </r>
  <r>
    <d v="2026-06-03T00:00:00"/>
    <x v="14"/>
    <s v="AM"/>
    <x v="2"/>
  </r>
  <r>
    <d v="2026-06-03T00:00:00"/>
    <x v="15"/>
    <s v="AM"/>
    <x v="2"/>
  </r>
  <r>
    <d v="2026-06-03T00:00:00"/>
    <x v="110"/>
    <s v="AM"/>
    <x v="2"/>
  </r>
  <r>
    <d v="2026-06-03T00:00:00"/>
    <x v="111"/>
    <s v="AM"/>
    <x v="2"/>
  </r>
  <r>
    <d v="2026-06-03T00:00:00"/>
    <x v="20"/>
    <s v="AM"/>
    <x v="2"/>
  </r>
  <r>
    <d v="2026-06-03T00:00:00"/>
    <x v="21"/>
    <s v="AM"/>
    <x v="2"/>
  </r>
  <r>
    <d v="2026-06-03T00:00:00"/>
    <x v="112"/>
    <s v="DAY"/>
    <x v="2"/>
  </r>
  <r>
    <d v="2026-06-03T00:00:00"/>
    <x v="106"/>
    <s v="AM"/>
    <x v="2"/>
  </r>
  <r>
    <d v="2026-06-03T00:00:00"/>
    <x v="22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114"/>
    <s v="DAY"/>
    <x v="2"/>
  </r>
  <r>
    <d v="2026-06-03T00:00:00"/>
    <x v="115"/>
    <s v="AM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3"/>
    <s v="AM"/>
    <x v="2"/>
  </r>
  <r>
    <d v="2026-06-03T00:00:00"/>
    <x v="12"/>
    <s v="AM"/>
    <x v="2"/>
  </r>
  <r>
    <d v="2026-06-03T00:00:00"/>
    <x v="35"/>
    <s v="AM"/>
    <x v="2"/>
  </r>
  <r>
    <d v="2026-06-03T00:00:00"/>
    <x v="120"/>
    <s v="AM"/>
    <x v="2"/>
  </r>
  <r>
    <d v="2026-06-03T00:00:00"/>
    <x v="37"/>
    <s v="DAY"/>
    <x v="2"/>
  </r>
  <r>
    <d v="2026-06-03T00:00:00"/>
    <x v="38"/>
    <s v="AM"/>
    <x v="2"/>
  </r>
  <r>
    <d v="2026-06-03T00:00:00"/>
    <x v="121"/>
    <s v="AM"/>
    <x v="2"/>
  </r>
  <r>
    <d v="2026-06-03T00:00:00"/>
    <x v="13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4"/>
    <s v="MI-TEMPS"/>
    <x v="2"/>
  </r>
  <r>
    <d v="2026-06-03T00:00:00"/>
    <x v="46"/>
    <s v="MI-TEMPS"/>
    <x v="2"/>
  </r>
  <r>
    <d v="2026-06-03T00:00:00"/>
    <x v="49"/>
    <s v="AM"/>
    <x v="2"/>
  </r>
  <r>
    <d v="2026-06-03T00:00:00"/>
    <x v="109"/>
    <s v="AM"/>
    <x v="2"/>
  </r>
  <r>
    <d v="2026-06-03T00:00:00"/>
    <x v="7"/>
    <s v="AM"/>
    <x v="2"/>
  </r>
  <r>
    <d v="2026-06-03T00:00:00"/>
    <x v="8"/>
    <s v="AM"/>
    <x v="2"/>
  </r>
  <r>
    <d v="2026-06-03T00:00:00"/>
    <x v="51"/>
    <s v="DAY"/>
    <x v="2"/>
  </r>
  <r>
    <d v="2026-06-03T00:00:00"/>
    <x v="52"/>
    <s v="AM"/>
    <x v="2"/>
  </r>
  <r>
    <d v="2026-06-03T00:00:00"/>
    <x v="125"/>
    <s v="DAY"/>
    <x v="2"/>
  </r>
  <r>
    <d v="2026-06-03T00:00:00"/>
    <x v="129"/>
    <s v="AM"/>
    <x v="2"/>
  </r>
  <r>
    <d v="2026-06-03T00:00:00"/>
    <x v="54"/>
    <s v="DAY"/>
    <x v="2"/>
  </r>
  <r>
    <d v="2026-06-03T00:00:00"/>
    <x v="130"/>
    <s v="AM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133"/>
    <s v="PM"/>
    <x v="0"/>
  </r>
  <r>
    <d v="2026-06-03T00:00:00"/>
    <x v="134"/>
    <s v="PM"/>
    <x v="0"/>
  </r>
  <r>
    <d v="2026-06-03T00:00:00"/>
    <x v="143"/>
    <s v="PM"/>
    <x v="0"/>
  </r>
  <r>
    <d v="2026-06-03T00:00:00"/>
    <x v="146"/>
    <s v="PM"/>
    <x v="0"/>
  </r>
  <r>
    <d v="2026-06-03T00:00:00"/>
    <x v="138"/>
    <s v="PM"/>
    <x v="0"/>
  </r>
  <r>
    <d v="2026-06-03T00:00:00"/>
    <x v="147"/>
    <s v="PM"/>
    <x v="0"/>
  </r>
  <r>
    <d v="2026-06-03T00:00:00"/>
    <x v="148"/>
    <s v="PM"/>
    <x v="0"/>
  </r>
  <r>
    <d v="2026-06-03T00:00:00"/>
    <x v="151"/>
    <s v="PM"/>
    <x v="0"/>
  </r>
  <r>
    <d v="2026-06-03T00:00:00"/>
    <x v="94"/>
    <s v="PM"/>
    <x v="0"/>
  </r>
  <r>
    <d v="2026-06-03T00:00:00"/>
    <x v="131"/>
    <s v="PM"/>
    <x v="0"/>
  </r>
  <r>
    <d v="2026-06-03T00:00:00"/>
    <x v="65"/>
    <s v="PM"/>
    <x v="1"/>
  </r>
  <r>
    <d v="2026-06-03T00:00:00"/>
    <x v="66"/>
    <s v="PM"/>
    <x v="1"/>
  </r>
  <r>
    <d v="2026-06-03T00:00:00"/>
    <x v="156"/>
    <s v="PM"/>
    <x v="1"/>
  </r>
  <r>
    <d v="2026-06-03T00:00:00"/>
    <x v="96"/>
    <s v="PM"/>
    <x v="1"/>
  </r>
  <r>
    <d v="2026-06-03T00:00:00"/>
    <x v="74"/>
    <s v="PM"/>
    <x v="2"/>
  </r>
  <r>
    <d v="2026-06-03T00:00:00"/>
    <x v="135"/>
    <s v="PM"/>
    <x v="2"/>
  </r>
  <r>
    <d v="2026-06-03T00:00:00"/>
    <x v="60"/>
    <s v="PM"/>
    <x v="2"/>
  </r>
  <r>
    <d v="2026-06-03T00:00:00"/>
    <x v="76"/>
    <s v="PM"/>
    <x v="2"/>
  </r>
  <r>
    <d v="2026-06-03T00:00:00"/>
    <x v="77"/>
    <s v="PM"/>
    <x v="2"/>
  </r>
  <r>
    <d v="2026-06-03T00:00:00"/>
    <x v="78"/>
    <s v="PM"/>
    <x v="2"/>
  </r>
  <r>
    <d v="2026-06-03T00:00:00"/>
    <x v="132"/>
    <s v="PM"/>
    <x v="2"/>
  </r>
  <r>
    <d v="2026-06-03T00:00:00"/>
    <x v="80"/>
    <s v="PM"/>
    <x v="2"/>
  </r>
  <r>
    <d v="2026-06-03T00:00:00"/>
    <x v="81"/>
    <s v="PM"/>
    <x v="2"/>
  </r>
  <r>
    <d v="2026-06-03T00:00:00"/>
    <x v="62"/>
    <s v="PM"/>
    <x v="2"/>
  </r>
  <r>
    <d v="2026-06-03T00:00:00"/>
    <x v="82"/>
    <s v="PM"/>
    <x v="2"/>
  </r>
  <r>
    <d v="2026-06-03T00:00:00"/>
    <x v="83"/>
    <s v="PM"/>
    <x v="2"/>
  </r>
  <r>
    <d v="2026-06-03T00:00:00"/>
    <x v="63"/>
    <s v="PM"/>
    <x v="2"/>
  </r>
  <r>
    <d v="2026-06-03T00:00:00"/>
    <x v="64"/>
    <s v="PM"/>
    <x v="2"/>
  </r>
  <r>
    <d v="2026-06-03T00:00:00"/>
    <x v="85"/>
    <s v="PM"/>
    <x v="2"/>
  </r>
  <r>
    <d v="2026-06-03T00:00:00"/>
    <x v="152"/>
    <s v="PM"/>
    <x v="2"/>
  </r>
  <r>
    <d v="2026-06-03T00:00:00"/>
    <x v="88"/>
    <s v="PM"/>
    <x v="2"/>
  </r>
  <r>
    <d v="2026-06-03T00:00:00"/>
    <x v="89"/>
    <s v="PM"/>
    <x v="2"/>
  </r>
  <r>
    <d v="2026-06-03T00:00:00"/>
    <x v="90"/>
    <s v="PM"/>
    <x v="2"/>
  </r>
  <r>
    <d v="2026-06-03T00:00:00"/>
    <x v="69"/>
    <s v="PM"/>
    <x v="2"/>
  </r>
  <r>
    <d v="2026-06-03T00:00:00"/>
    <x v="91"/>
    <s v="PM"/>
    <x v="2"/>
  </r>
  <r>
    <d v="2026-06-03T00:00:00"/>
    <x v="67"/>
    <s v="PM"/>
    <x v="2"/>
  </r>
  <r>
    <d v="2026-06-03T00:00:00"/>
    <x v="71"/>
    <s v="PM"/>
    <x v="2"/>
  </r>
  <r>
    <d v="2026-06-03T00:00:00"/>
    <x v="95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22"/>
    <s v="AM"/>
    <x v="4"/>
  </r>
  <r>
    <d v="2026-06-03T00:00:00"/>
    <x v="0"/>
    <s v="AM"/>
    <x v="5"/>
  </r>
  <r>
    <d v="2026-06-03T00:00:00"/>
    <x v="17"/>
    <s v="AM"/>
    <x v="5"/>
  </r>
  <r>
    <d v="2026-06-03T00:00:00"/>
    <x v="18"/>
    <s v="AM"/>
    <x v="5"/>
  </r>
  <r>
    <d v="2026-06-03T00:00:00"/>
    <x v="103"/>
    <s v="AM"/>
    <x v="5"/>
  </r>
  <r>
    <d v="2026-06-03T00:00:00"/>
    <x v="1"/>
    <s v="AM"/>
    <x v="5"/>
  </r>
  <r>
    <d v="2026-06-03T00:00:00"/>
    <x v="26"/>
    <s v="AM"/>
    <x v="5"/>
  </r>
  <r>
    <d v="2026-06-03T00:00:00"/>
    <x v="11"/>
    <s v="AM"/>
    <x v="5"/>
  </r>
  <r>
    <d v="2026-06-03T00:00:00"/>
    <x v="118"/>
    <s v="AM"/>
    <x v="5"/>
  </r>
  <r>
    <d v="2026-06-03T00:00:00"/>
    <x v="33"/>
    <s v="AM"/>
    <x v="5"/>
  </r>
  <r>
    <d v="2026-06-03T00:00:00"/>
    <x v="34"/>
    <s v="AM"/>
    <x v="5"/>
  </r>
  <r>
    <d v="2026-06-03T00:00:00"/>
    <x v="36"/>
    <s v="AM"/>
    <x v="5"/>
  </r>
  <r>
    <d v="2026-06-03T00:00:00"/>
    <x v="39"/>
    <s v="AM"/>
    <x v="5"/>
  </r>
  <r>
    <d v="2026-06-03T00:00:00"/>
    <x v="40"/>
    <s v="AM"/>
    <x v="5"/>
  </r>
  <r>
    <d v="2026-06-03T00:00:00"/>
    <x v="4"/>
    <s v="AM"/>
    <x v="5"/>
  </r>
  <r>
    <d v="2026-06-03T00:00:00"/>
    <x v="43"/>
    <s v="AM"/>
    <x v="5"/>
  </r>
  <r>
    <d v="2026-06-03T00:00:00"/>
    <x v="107"/>
    <s v="AM"/>
    <x v="5"/>
  </r>
  <r>
    <d v="2026-06-03T00:00:00"/>
    <x v="47"/>
    <s v="AM"/>
    <x v="5"/>
  </r>
  <r>
    <d v="2026-06-03T00:00:00"/>
    <x v="108"/>
    <s v="AM"/>
    <x v="5"/>
  </r>
  <r>
    <d v="2026-06-03T00:00:00"/>
    <x v="50"/>
    <s v="AM"/>
    <x v="5"/>
  </r>
  <r>
    <d v="2026-06-03T00:00:00"/>
    <x v="123"/>
    <s v="AM"/>
    <x v="5"/>
  </r>
  <r>
    <d v="2026-06-03T00:00:00"/>
    <x v="5"/>
    <s v="AM"/>
    <x v="5"/>
  </r>
  <r>
    <d v="2026-06-03T00:00:00"/>
    <x v="6"/>
    <s v="AM"/>
    <x v="5"/>
  </r>
  <r>
    <d v="2026-06-03T00:00:00"/>
    <x v="9"/>
    <s v="AM"/>
    <x v="5"/>
  </r>
  <r>
    <d v="2026-06-03T00:00:00"/>
    <x v="126"/>
    <s v="AM"/>
    <x v="5"/>
  </r>
  <r>
    <d v="2026-06-03T00:00:00"/>
    <x v="128"/>
    <s v="AM"/>
    <x v="5"/>
  </r>
  <r>
    <d v="2026-06-03T00:00:00"/>
    <x v="45"/>
    <s v="DAY"/>
    <x v="6"/>
  </r>
  <r>
    <d v="2026-06-03T00:00:00"/>
    <x v="48"/>
    <s v="MI-TEMPS"/>
    <x v="6"/>
  </r>
  <r>
    <d v="2026-06-03T00:00:00"/>
    <x v="53"/>
    <s v="MI-TEMPS"/>
    <x v="6"/>
  </r>
  <r>
    <d v="2026-06-03T00:00:00"/>
    <x v="61"/>
    <s v="PM"/>
    <x v="4"/>
  </r>
  <r>
    <d v="2026-06-03T00:00:00"/>
    <x v="153"/>
    <s v="PM"/>
    <x v="5"/>
  </r>
  <r>
    <d v="2026-06-03T00:00:00"/>
    <x v="59"/>
    <s v="PM"/>
    <x v="6"/>
  </r>
  <r>
    <d v="2026-06-03T00:00:00"/>
    <x v="75"/>
    <s v="PM"/>
    <x v="6"/>
  </r>
  <r>
    <d v="2026-06-03T00:00:00"/>
    <x v="84"/>
    <s v="PM"/>
    <x v="6"/>
  </r>
  <r>
    <d v="2026-06-03T00:00:00"/>
    <x v="87"/>
    <s v="PM"/>
    <x v="6"/>
  </r>
  <r>
    <d v="2026-06-03T00:00:00"/>
    <x v="70"/>
    <s v="PM"/>
    <x v="6"/>
  </r>
  <r>
    <d v="2026-06-03T00:00:00"/>
    <x v="68"/>
    <s v="PM"/>
    <x v="6"/>
  </r>
  <r>
    <d v="2026-06-03T00:00:00"/>
    <x v="92"/>
    <s v="PM"/>
    <x v="6"/>
  </r>
  <r>
    <d v="2026-06-03T00:00:00"/>
    <x v="93"/>
    <s v="PM"/>
    <x v="6"/>
  </r>
  <r>
    <d v="2026-06-03T00:00:00"/>
    <x v="72"/>
    <s v="PM"/>
    <x v="6"/>
  </r>
  <r>
    <d v="2026-06-03T00:00:00"/>
    <x v="73"/>
    <s v="PM"/>
    <x v="7"/>
  </r>
  <r>
    <d v="2026-06-03T00:00:00"/>
    <x v="142"/>
    <s v="PM"/>
    <x v="7"/>
  </r>
  <r>
    <d v="2026-06-03T00:00:00"/>
    <x v="79"/>
    <s v="PM"/>
    <x v="7"/>
  </r>
  <r>
    <d v="2026-06-03T00:00:00"/>
    <x v="136"/>
    <s v="PM"/>
    <x v="7"/>
  </r>
  <r>
    <d v="2026-06-03T00:00:00"/>
    <x v="144"/>
    <s v="PM"/>
    <x v="7"/>
  </r>
  <r>
    <d v="2026-06-03T00:00:00"/>
    <x v="145"/>
    <s v="PM"/>
    <x v="7"/>
  </r>
  <r>
    <d v="2026-06-03T00:00:00"/>
    <x v="137"/>
    <s v="PM"/>
    <x v="7"/>
  </r>
  <r>
    <d v="2026-06-03T00:00:00"/>
    <x v="139"/>
    <s v="PM"/>
    <x v="7"/>
  </r>
  <r>
    <d v="2026-06-03T00:00:00"/>
    <x v="149"/>
    <s v="PM"/>
    <x v="7"/>
  </r>
  <r>
    <d v="2026-06-03T00:00:00"/>
    <x v="150"/>
    <s v="PM"/>
    <x v="7"/>
  </r>
  <r>
    <d v="2026-06-03T00:00:00"/>
    <x v="86"/>
    <s v="PM"/>
    <x v="7"/>
  </r>
  <r>
    <d v="2026-06-03T00:00:00"/>
    <x v="140"/>
    <s v="PM"/>
    <x v="7"/>
  </r>
  <r>
    <d v="2026-06-03T00:00:00"/>
    <x v="154"/>
    <s v="PM"/>
    <x v="7"/>
  </r>
  <r>
    <d v="2026-06-03T00:00:00"/>
    <x v="141"/>
    <s v="PM"/>
    <x v="7"/>
  </r>
  <r>
    <d v="2026-06-03T00:00:00"/>
    <x v="155"/>
    <s v="PM"/>
    <x v="7"/>
  </r>
  <r>
    <d v="2026-06-03T00:00:00"/>
    <x v="15"/>
    <s v="AM"/>
    <x v="0"/>
  </r>
  <r>
    <d v="2026-06-03T00:00:00"/>
    <x v="18"/>
    <s v="AM"/>
    <x v="0"/>
  </r>
  <r>
    <d v="2026-06-03T00:00:00"/>
    <x v="2"/>
    <s v="AM"/>
    <x v="0"/>
  </r>
  <r>
    <d v="2026-06-03T00:00:00"/>
    <x v="32"/>
    <s v="MI-TEMPS"/>
    <x v="0"/>
  </r>
  <r>
    <d v="2026-06-03T00:00:00"/>
    <x v="3"/>
    <s v="AM"/>
    <x v="0"/>
  </r>
  <r>
    <d v="2026-06-03T00:00:00"/>
    <x v="121"/>
    <s v="AM"/>
    <x v="0"/>
  </r>
  <r>
    <d v="2026-06-03T00:00:00"/>
    <x v="4"/>
    <s v="AM"/>
    <x v="0"/>
  </r>
  <r>
    <d v="2026-06-03T00:00:00"/>
    <x v="8"/>
    <s v="AM"/>
    <x v="0"/>
  </r>
  <r>
    <d v="2026-06-03T00:00:00"/>
    <x v="125"/>
    <s v="DAY"/>
    <x v="0"/>
  </r>
  <r>
    <d v="2026-06-03T00:00:00"/>
    <x v="127"/>
    <s v="AM"/>
    <x v="0"/>
  </r>
  <r>
    <d v="2026-06-03T00:00:00"/>
    <x v="117"/>
    <s v="AM"/>
    <x v="1"/>
  </r>
  <r>
    <d v="2026-06-03T00:00:00"/>
    <x v="120"/>
    <s v="AM"/>
    <x v="1"/>
  </r>
  <r>
    <d v="2026-06-03T00:00:00"/>
    <x v="37"/>
    <s v="DAY"/>
    <x v="1"/>
  </r>
  <r>
    <d v="2026-06-03T00:00:00"/>
    <x v="126"/>
    <s v="AM"/>
    <x v="1"/>
  </r>
  <r>
    <d v="2026-06-03T00:00:00"/>
    <x v="10"/>
    <s v="AM"/>
    <x v="2"/>
  </r>
  <r>
    <d v="2026-06-03T00:00:00"/>
    <x v="16"/>
    <s v="DAY"/>
    <x v="2"/>
  </r>
  <r>
    <d v="2026-06-03T00:00:00"/>
    <x v="17"/>
    <s v="AM"/>
    <x v="2"/>
  </r>
  <r>
    <d v="2026-06-03T00:00:00"/>
    <x v="104"/>
    <s v="AM"/>
    <x v="2"/>
  </r>
  <r>
    <d v="2026-06-03T00:00:00"/>
    <x v="21"/>
    <s v="AM"/>
    <x v="2"/>
  </r>
  <r>
    <d v="2026-06-03T00:00:00"/>
    <x v="112"/>
    <s v="DAY"/>
    <x v="2"/>
  </r>
  <r>
    <d v="2026-06-03T00:00:00"/>
    <x v="22"/>
    <s v="AM"/>
    <x v="2"/>
  </r>
  <r>
    <d v="2026-06-03T00:00:00"/>
    <x v="1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6"/>
    <s v="AM"/>
    <x v="2"/>
  </r>
  <r>
    <d v="2026-06-03T00:00:00"/>
    <x v="11"/>
    <s v="AM"/>
    <x v="2"/>
  </r>
  <r>
    <d v="2026-06-03T00:00:00"/>
    <x v="114"/>
    <s v="DAY"/>
    <x v="2"/>
  </r>
  <r>
    <d v="2026-06-03T00:00:00"/>
    <x v="28"/>
    <s v="AM"/>
    <x v="2"/>
  </r>
  <r>
    <d v="2026-06-03T00:00:00"/>
    <x v="115"/>
    <s v="AM"/>
    <x v="2"/>
  </r>
  <r>
    <d v="2026-06-03T00:00:00"/>
    <x v="30"/>
    <s v="DAY"/>
    <x v="2"/>
  </r>
  <r>
    <d v="2026-06-03T00:00:00"/>
    <x v="31"/>
    <s v="AM"/>
    <x v="2"/>
  </r>
  <r>
    <d v="2026-06-03T00:00:00"/>
    <x v="116"/>
    <s v="AM"/>
    <x v="2"/>
  </r>
  <r>
    <d v="2026-06-03T00:00:00"/>
    <x v="118"/>
    <s v="AM"/>
    <x v="2"/>
  </r>
  <r>
    <d v="2026-06-03T00:00:00"/>
    <x v="34"/>
    <s v="AM"/>
    <x v="2"/>
  </r>
  <r>
    <d v="2026-06-03T00:00:00"/>
    <x v="119"/>
    <s v="AM"/>
    <x v="2"/>
  </r>
  <r>
    <d v="2026-06-03T00:00:00"/>
    <x v="35"/>
    <s v="AM"/>
    <x v="2"/>
  </r>
  <r>
    <d v="2026-06-03T00:00:00"/>
    <x v="36"/>
    <s v="AM"/>
    <x v="2"/>
  </r>
  <r>
    <d v="2026-06-03T00:00:00"/>
    <x v="39"/>
    <s v="AM"/>
    <x v="2"/>
  </r>
  <r>
    <d v="2026-06-03T00:00:00"/>
    <x v="40"/>
    <s v="AM"/>
    <x v="2"/>
  </r>
  <r>
    <d v="2026-06-03T00:00:00"/>
    <x v="13"/>
    <s v="AM"/>
    <x v="2"/>
  </r>
  <r>
    <d v="2026-06-03T00:00:00"/>
    <x v="41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108"/>
    <s v="AM"/>
    <x v="2"/>
  </r>
  <r>
    <d v="2026-06-03T00:00:00"/>
    <x v="102"/>
    <s v="AM"/>
    <x v="2"/>
  </r>
  <r>
    <d v="2026-06-03T00:00:00"/>
    <x v="49"/>
    <s v="AM"/>
    <x v="2"/>
  </r>
  <r>
    <d v="2026-06-03T00:00:00"/>
    <x v="50"/>
    <s v="AM"/>
    <x v="2"/>
  </r>
  <r>
    <d v="2026-06-03T00:00:00"/>
    <x v="6"/>
    <s v="AM"/>
    <x v="2"/>
  </r>
  <r>
    <d v="2026-06-03T00:00:00"/>
    <x v="124"/>
    <s v="AM"/>
    <x v="2"/>
  </r>
  <r>
    <d v="2026-06-03T00:00:00"/>
    <x v="51"/>
    <s v="DAY"/>
    <x v="2"/>
  </r>
  <r>
    <d v="2026-06-03T00:00:00"/>
    <x v="53"/>
    <s v="MI-TEMPS"/>
    <x v="2"/>
  </r>
  <r>
    <d v="2026-06-03T00:00:00"/>
    <x v="129"/>
    <s v="AM"/>
    <x v="2"/>
  </r>
  <r>
    <d v="2026-06-03T00:00:00"/>
    <x v="54"/>
    <s v="DAY"/>
    <x v="2"/>
  </r>
  <r>
    <d v="2026-06-03T00:00:00"/>
    <x v="130"/>
    <s v="AM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80"/>
    <s v="PM"/>
    <x v="0"/>
  </r>
  <r>
    <d v="2026-06-03T00:00:00"/>
    <x v="82"/>
    <s v="PM"/>
    <x v="0"/>
  </r>
  <r>
    <d v="2026-06-03T00:00:00"/>
    <x v="137"/>
    <s v="PM"/>
    <x v="0"/>
  </r>
  <r>
    <d v="2026-06-03T00:00:00"/>
    <x v="146"/>
    <s v="PM"/>
    <x v="0"/>
  </r>
  <r>
    <d v="2026-06-03T00:00:00"/>
    <x v="63"/>
    <s v="PM"/>
    <x v="0"/>
  </r>
  <r>
    <d v="2026-06-03T00:00:00"/>
    <x v="89"/>
    <s v="PM"/>
    <x v="0"/>
  </r>
  <r>
    <d v="2026-06-03T00:00:00"/>
    <x v="69"/>
    <s v="PM"/>
    <x v="0"/>
  </r>
  <r>
    <d v="2026-06-03T00:00:00"/>
    <x v="67"/>
    <s v="PM"/>
    <x v="0"/>
  </r>
  <r>
    <d v="2026-06-03T00:00:00"/>
    <x v="70"/>
    <s v="PM"/>
    <x v="0"/>
  </r>
  <r>
    <d v="2026-06-03T00:00:00"/>
    <x v="140"/>
    <s v="PM"/>
    <x v="0"/>
  </r>
  <r>
    <d v="2026-06-03T00:00:00"/>
    <x v="81"/>
    <s v="PM"/>
    <x v="1"/>
  </r>
  <r>
    <d v="2026-06-03T00:00:00"/>
    <x v="147"/>
    <s v="PM"/>
    <x v="1"/>
  </r>
  <r>
    <d v="2026-06-03T00:00:00"/>
    <x v="150"/>
    <s v="PM"/>
    <x v="1"/>
  </r>
  <r>
    <d v="2026-06-03T00:00:00"/>
    <x v="151"/>
    <s v="PM"/>
    <x v="1"/>
  </r>
  <r>
    <d v="2026-06-03T00:00:00"/>
    <x v="59"/>
    <s v="PM"/>
    <x v="2"/>
  </r>
  <r>
    <d v="2026-06-03T00:00:00"/>
    <x v="142"/>
    <s v="PM"/>
    <x v="2"/>
  </r>
  <r>
    <d v="2026-06-03T00:00:00"/>
    <x v="143"/>
    <s v="PM"/>
    <x v="2"/>
  </r>
  <r>
    <d v="2026-06-03T00:00:00"/>
    <x v="75"/>
    <s v="PM"/>
    <x v="2"/>
  </r>
  <r>
    <d v="2026-06-03T00:00:00"/>
    <x v="60"/>
    <s v="PM"/>
    <x v="2"/>
  </r>
  <r>
    <d v="2026-06-03T00:00:00"/>
    <x v="76"/>
    <s v="PM"/>
    <x v="2"/>
  </r>
  <r>
    <d v="2026-06-03T00:00:00"/>
    <x v="78"/>
    <s v="PM"/>
    <x v="2"/>
  </r>
  <r>
    <d v="2026-06-03T00:00:00"/>
    <x v="79"/>
    <s v="PM"/>
    <x v="2"/>
  </r>
  <r>
    <d v="2026-06-03T00:00:00"/>
    <x v="61"/>
    <s v="PM"/>
    <x v="2"/>
  </r>
  <r>
    <d v="2026-06-03T00:00:00"/>
    <x v="83"/>
    <s v="PM"/>
    <x v="2"/>
  </r>
  <r>
    <d v="2026-06-03T00:00:00"/>
    <x v="138"/>
    <s v="PM"/>
    <x v="2"/>
  </r>
  <r>
    <d v="2026-06-03T00:00:00"/>
    <x v="149"/>
    <s v="PM"/>
    <x v="2"/>
  </r>
  <r>
    <d v="2026-06-03T00:00:00"/>
    <x v="64"/>
    <s v="PM"/>
    <x v="2"/>
  </r>
  <r>
    <d v="2026-06-03T00:00:00"/>
    <x v="84"/>
    <s v="PM"/>
    <x v="2"/>
  </r>
  <r>
    <d v="2026-06-03T00:00:00"/>
    <x v="85"/>
    <s v="PM"/>
    <x v="2"/>
  </r>
  <r>
    <d v="2026-06-03T00:00:00"/>
    <x v="66"/>
    <s v="PM"/>
    <x v="2"/>
  </r>
  <r>
    <d v="2026-06-03T00:00:00"/>
    <x v="91"/>
    <s v="PM"/>
    <x v="2"/>
  </r>
  <r>
    <d v="2026-06-03T00:00:00"/>
    <x v="92"/>
    <s v="PM"/>
    <x v="2"/>
  </r>
  <r>
    <d v="2026-06-03T00:00:00"/>
    <x v="93"/>
    <s v="PM"/>
    <x v="2"/>
  </r>
  <r>
    <d v="2026-06-03T00:00:00"/>
    <x v="72"/>
    <s v="PM"/>
    <x v="2"/>
  </r>
  <r>
    <d v="2026-06-03T00:00:00"/>
    <x v="153"/>
    <s v="PM"/>
    <x v="2"/>
  </r>
  <r>
    <d v="2026-06-03T00:00:00"/>
    <x v="154"/>
    <s v="PM"/>
    <x v="2"/>
  </r>
  <r>
    <d v="2026-06-03T00:00:00"/>
    <x v="156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05"/>
    <s v="AM"/>
    <x v="4"/>
  </r>
  <r>
    <d v="2026-06-03T00:00:00"/>
    <x v="14"/>
    <s v="AM"/>
    <x v="5"/>
  </r>
  <r>
    <d v="2026-06-03T00:00:00"/>
    <x v="0"/>
    <s v="AM"/>
    <x v="5"/>
  </r>
  <r>
    <d v="2026-06-03T00:00:00"/>
    <x v="110"/>
    <s v="AM"/>
    <x v="5"/>
  </r>
  <r>
    <d v="2026-06-03T00:00:00"/>
    <x v="19"/>
    <s v="AM"/>
    <x v="5"/>
  </r>
  <r>
    <d v="2026-06-03T00:00:00"/>
    <x v="111"/>
    <s v="AM"/>
    <x v="5"/>
  </r>
  <r>
    <d v="2026-06-03T00:00:00"/>
    <x v="20"/>
    <s v="AM"/>
    <x v="5"/>
  </r>
  <r>
    <d v="2026-06-03T00:00:00"/>
    <x v="103"/>
    <s v="AM"/>
    <x v="5"/>
  </r>
  <r>
    <d v="2026-06-03T00:00:00"/>
    <x v="106"/>
    <s v="AM"/>
    <x v="5"/>
  </r>
  <r>
    <d v="2026-06-03T00:00:00"/>
    <x v="23"/>
    <s v="AM"/>
    <x v="5"/>
  </r>
  <r>
    <d v="2026-06-03T00:00:00"/>
    <x v="113"/>
    <s v="AM"/>
    <x v="5"/>
  </r>
  <r>
    <d v="2026-06-03T00:00:00"/>
    <x v="29"/>
    <s v="AM"/>
    <x v="5"/>
  </r>
  <r>
    <d v="2026-06-03T00:00:00"/>
    <x v="33"/>
    <s v="AM"/>
    <x v="5"/>
  </r>
  <r>
    <d v="2026-06-03T00:00:00"/>
    <x v="12"/>
    <s v="AM"/>
    <x v="5"/>
  </r>
  <r>
    <d v="2026-06-03T00:00:00"/>
    <x v="38"/>
    <s v="AM"/>
    <x v="5"/>
  </r>
  <r>
    <d v="2026-06-03T00:00:00"/>
    <x v="43"/>
    <s v="AM"/>
    <x v="5"/>
  </r>
  <r>
    <d v="2026-06-03T00:00:00"/>
    <x v="107"/>
    <s v="AM"/>
    <x v="5"/>
  </r>
  <r>
    <d v="2026-06-03T00:00:00"/>
    <x v="122"/>
    <s v="AM"/>
    <x v="5"/>
  </r>
  <r>
    <d v="2026-06-03T00:00:00"/>
    <x v="47"/>
    <s v="AM"/>
    <x v="5"/>
  </r>
  <r>
    <d v="2026-06-03T00:00:00"/>
    <x v="109"/>
    <s v="AM"/>
    <x v="5"/>
  </r>
  <r>
    <d v="2026-06-03T00:00:00"/>
    <x v="123"/>
    <s v="AM"/>
    <x v="5"/>
  </r>
  <r>
    <d v="2026-06-03T00:00:00"/>
    <x v="5"/>
    <s v="AM"/>
    <x v="5"/>
  </r>
  <r>
    <d v="2026-06-03T00:00:00"/>
    <x v="7"/>
    <s v="AM"/>
    <x v="5"/>
  </r>
  <r>
    <d v="2026-06-03T00:00:00"/>
    <x v="9"/>
    <s v="AM"/>
    <x v="5"/>
  </r>
  <r>
    <d v="2026-06-03T00:00:00"/>
    <x v="52"/>
    <s v="AM"/>
    <x v="5"/>
  </r>
  <r>
    <d v="2026-06-03T00:00:00"/>
    <x v="128"/>
    <s v="AM"/>
    <x v="5"/>
  </r>
  <r>
    <d v="2026-06-03T00:00:00"/>
    <x v="27"/>
    <s v="MI-TEMPS"/>
    <x v="6"/>
  </r>
  <r>
    <d v="2026-06-03T00:00:00"/>
    <x v="42"/>
    <s v="MI-TEMPS"/>
    <x v="6"/>
  </r>
  <r>
    <d v="2026-06-03T00:00:00"/>
    <x v="48"/>
    <s v="MI-TEMPS"/>
    <x v="6"/>
  </r>
  <r>
    <d v="2026-06-03T00:00:00"/>
    <x v="77"/>
    <s v="PM"/>
    <x v="4"/>
  </r>
  <r>
    <d v="2026-06-03T00:00:00"/>
    <x v="73"/>
    <s v="PM"/>
    <x v="5"/>
  </r>
  <r>
    <d v="2026-06-03T00:00:00"/>
    <x v="74"/>
    <s v="PM"/>
    <x v="6"/>
  </r>
  <r>
    <d v="2026-06-03T00:00:00"/>
    <x v="62"/>
    <s v="PM"/>
    <x v="6"/>
  </r>
  <r>
    <d v="2026-06-03T00:00:00"/>
    <x v="65"/>
    <s v="PM"/>
    <x v="6"/>
  </r>
  <r>
    <d v="2026-06-03T00:00:00"/>
    <x v="87"/>
    <s v="PM"/>
    <x v="6"/>
  </r>
  <r>
    <d v="2026-06-03T00:00:00"/>
    <x v="88"/>
    <s v="PM"/>
    <x v="6"/>
  </r>
  <r>
    <d v="2026-06-03T00:00:00"/>
    <x v="90"/>
    <s v="PM"/>
    <x v="6"/>
  </r>
  <r>
    <d v="2026-06-03T00:00:00"/>
    <x v="68"/>
    <s v="PM"/>
    <x v="6"/>
  </r>
  <r>
    <d v="2026-06-03T00:00:00"/>
    <x v="94"/>
    <s v="PM"/>
    <x v="6"/>
  </r>
  <r>
    <d v="2026-06-03T00:00:00"/>
    <x v="95"/>
    <s v="PM"/>
    <x v="6"/>
  </r>
  <r>
    <d v="2026-06-03T00:00:00"/>
    <x v="133"/>
    <s v="PM"/>
    <x v="7"/>
  </r>
  <r>
    <d v="2026-06-03T00:00:00"/>
    <x v="134"/>
    <s v="PM"/>
    <x v="7"/>
  </r>
  <r>
    <d v="2026-06-03T00:00:00"/>
    <x v="135"/>
    <s v="PM"/>
    <x v="7"/>
  </r>
  <r>
    <d v="2026-06-03T00:00:00"/>
    <x v="132"/>
    <s v="PM"/>
    <x v="7"/>
  </r>
  <r>
    <d v="2026-06-03T00:00:00"/>
    <x v="136"/>
    <s v="PM"/>
    <x v="7"/>
  </r>
  <r>
    <d v="2026-06-03T00:00:00"/>
    <x v="144"/>
    <s v="PM"/>
    <x v="7"/>
  </r>
  <r>
    <d v="2026-06-03T00:00:00"/>
    <x v="145"/>
    <s v="PM"/>
    <x v="7"/>
  </r>
  <r>
    <d v="2026-06-03T00:00:00"/>
    <x v="148"/>
    <s v="PM"/>
    <x v="7"/>
  </r>
  <r>
    <d v="2026-06-03T00:00:00"/>
    <x v="139"/>
    <s v="PM"/>
    <x v="7"/>
  </r>
  <r>
    <d v="2026-06-03T00:00:00"/>
    <x v="86"/>
    <s v="PM"/>
    <x v="7"/>
  </r>
  <r>
    <d v="2026-06-03T00:00:00"/>
    <x v="152"/>
    <s v="PM"/>
    <x v="7"/>
  </r>
  <r>
    <d v="2026-06-03T00:00:00"/>
    <x v="71"/>
    <s v="PM"/>
    <x v="7"/>
  </r>
  <r>
    <d v="2026-06-03T00:00:00"/>
    <x v="141"/>
    <s v="PM"/>
    <x v="7"/>
  </r>
  <r>
    <d v="2026-06-03T00:00:00"/>
    <x v="155"/>
    <s v="PM"/>
    <x v="7"/>
  </r>
  <r>
    <d v="2026-06-03T00:00:00"/>
    <x v="131"/>
    <s v="PM"/>
    <x v="7"/>
  </r>
  <r>
    <d v="2026-06-03T00:00:00"/>
    <x v="14"/>
    <s v="AM"/>
    <x v="0"/>
  </r>
  <r>
    <d v="2026-06-03T00:00:00"/>
    <x v="1"/>
    <s v="AM"/>
    <x v="0"/>
  </r>
  <r>
    <d v="2026-06-03T00:00:00"/>
    <x v="24"/>
    <s v="MI-TEMPS"/>
    <x v="0"/>
  </r>
  <r>
    <d v="2026-06-03T00:00:00"/>
    <x v="25"/>
    <s v="MI-TEMPS"/>
    <x v="0"/>
  </r>
  <r>
    <d v="2026-06-03T00:00:00"/>
    <x v="113"/>
    <s v="AM"/>
    <x v="0"/>
  </r>
  <r>
    <d v="2026-06-03T00:00:00"/>
    <x v="29"/>
    <s v="AM"/>
    <x v="0"/>
  </r>
  <r>
    <d v="2026-06-03T00:00:00"/>
    <x v="120"/>
    <s v="AM"/>
    <x v="0"/>
  </r>
  <r>
    <d v="2026-06-03T00:00:00"/>
    <x v="39"/>
    <s v="AM"/>
    <x v="0"/>
  </r>
  <r>
    <d v="2026-06-03T00:00:00"/>
    <x v="43"/>
    <s v="AM"/>
    <x v="0"/>
  </r>
  <r>
    <d v="2026-06-03T00:00:00"/>
    <x v="126"/>
    <s v="AM"/>
    <x v="0"/>
  </r>
  <r>
    <d v="2026-06-03T00:00:00"/>
    <x v="15"/>
    <s v="AM"/>
    <x v="1"/>
  </r>
  <r>
    <d v="2026-06-03T00:00:00"/>
    <x v="21"/>
    <s v="AM"/>
    <x v="1"/>
  </r>
  <r>
    <d v="2026-06-03T00:00:00"/>
    <x v="103"/>
    <s v="AM"/>
    <x v="1"/>
  </r>
  <r>
    <d v="2026-06-03T00:00:00"/>
    <x v="30"/>
    <s v="DAY"/>
    <x v="1"/>
  </r>
  <r>
    <d v="2026-06-03T00:00:00"/>
    <x v="10"/>
    <s v="AM"/>
    <x v="2"/>
  </r>
  <r>
    <d v="2026-06-03T00:00:00"/>
    <x v="16"/>
    <s v="DAY"/>
    <x v="2"/>
  </r>
  <r>
    <d v="2026-06-03T00:00:00"/>
    <x v="18"/>
    <s v="AM"/>
    <x v="2"/>
  </r>
  <r>
    <d v="2026-06-03T00:00:00"/>
    <x v="19"/>
    <s v="AM"/>
    <x v="2"/>
  </r>
  <r>
    <d v="2026-06-03T00:00:00"/>
    <x v="20"/>
    <s v="AM"/>
    <x v="2"/>
  </r>
  <r>
    <d v="2026-06-03T00:00:00"/>
    <x v="112"/>
    <s v="DAY"/>
    <x v="2"/>
  </r>
  <r>
    <d v="2026-06-03T00:00:00"/>
    <x v="106"/>
    <s v="AM"/>
    <x v="2"/>
  </r>
  <r>
    <d v="2026-06-03T00:00:00"/>
    <x v="23"/>
    <s v="AM"/>
    <x v="2"/>
  </r>
  <r>
    <d v="2026-06-03T00:00:00"/>
    <x v="26"/>
    <s v="AM"/>
    <x v="2"/>
  </r>
  <r>
    <d v="2026-06-03T00:00:00"/>
    <x v="27"/>
    <s v="MI-TEMPS"/>
    <x v="2"/>
  </r>
  <r>
    <d v="2026-06-03T00:00:00"/>
    <x v="28"/>
    <s v="AM"/>
    <x v="2"/>
  </r>
  <r>
    <d v="2026-06-03T00:00:00"/>
    <x v="115"/>
    <s v="AM"/>
    <x v="2"/>
  </r>
  <r>
    <d v="2026-06-03T00:00:00"/>
    <x v="31"/>
    <s v="AM"/>
    <x v="2"/>
  </r>
  <r>
    <d v="2026-06-03T00:00:00"/>
    <x v="116"/>
    <s v="AM"/>
    <x v="2"/>
  </r>
  <r>
    <d v="2026-06-03T00:00:00"/>
    <x v="32"/>
    <s v="MI-TEMPS"/>
    <x v="2"/>
  </r>
  <r>
    <d v="2026-06-03T00:00:00"/>
    <x v="117"/>
    <s v="AM"/>
    <x v="2"/>
  </r>
  <r>
    <d v="2026-06-03T00:00:00"/>
    <x v="3"/>
    <s v="AM"/>
    <x v="2"/>
  </r>
  <r>
    <d v="2026-06-03T00:00:00"/>
    <x v="12"/>
    <s v="AM"/>
    <x v="2"/>
  </r>
  <r>
    <d v="2026-06-03T00:00:00"/>
    <x v="35"/>
    <s v="AM"/>
    <x v="2"/>
  </r>
  <r>
    <d v="2026-06-03T00:00:00"/>
    <x v="38"/>
    <s v="AM"/>
    <x v="2"/>
  </r>
  <r>
    <d v="2026-06-03T00:00:00"/>
    <x v="121"/>
    <s v="AM"/>
    <x v="2"/>
  </r>
  <r>
    <d v="2026-06-03T00:00:00"/>
    <x v="40"/>
    <s v="AM"/>
    <x v="2"/>
  </r>
  <r>
    <d v="2026-06-03T00:00:00"/>
    <x v="13"/>
    <s v="AM"/>
    <x v="2"/>
  </r>
  <r>
    <d v="2026-06-03T00:00:00"/>
    <x v="4"/>
    <s v="AM"/>
    <x v="2"/>
  </r>
  <r>
    <d v="2026-06-03T00:00:00"/>
    <x v="42"/>
    <s v="MI-TEMPS"/>
    <x v="2"/>
  </r>
  <r>
    <d v="2026-06-03T00:00:00"/>
    <x v="44"/>
    <s v="MI-TEMPS"/>
    <x v="2"/>
  </r>
  <r>
    <d v="2026-06-03T00:00:00"/>
    <x v="45"/>
    <s v="DAY"/>
    <x v="2"/>
  </r>
  <r>
    <d v="2026-06-03T00:00:00"/>
    <x v="122"/>
    <s v="AM"/>
    <x v="2"/>
  </r>
  <r>
    <d v="2026-06-03T00:00:00"/>
    <x v="108"/>
    <s v="AM"/>
    <x v="2"/>
  </r>
  <r>
    <d v="2026-06-03T00:00:00"/>
    <x v="48"/>
    <s v="MI-TEMPS"/>
    <x v="2"/>
  </r>
  <r>
    <d v="2026-06-03T00:00:00"/>
    <x v="50"/>
    <s v="AM"/>
    <x v="2"/>
  </r>
  <r>
    <d v="2026-06-03T00:00:00"/>
    <x v="123"/>
    <s v="AM"/>
    <x v="2"/>
  </r>
  <r>
    <d v="2026-06-03T00:00:00"/>
    <x v="5"/>
    <s v="AM"/>
    <x v="2"/>
  </r>
  <r>
    <d v="2026-06-03T00:00:00"/>
    <x v="8"/>
    <s v="AM"/>
    <x v="2"/>
  </r>
  <r>
    <d v="2026-06-03T00:00:00"/>
    <x v="9"/>
    <s v="AM"/>
    <x v="2"/>
  </r>
  <r>
    <d v="2026-06-03T00:00:00"/>
    <x v="51"/>
    <s v="DAY"/>
    <x v="2"/>
  </r>
  <r>
    <d v="2026-06-03T00:00:00"/>
    <x v="125"/>
    <s v="DAY"/>
    <x v="2"/>
  </r>
  <r>
    <d v="2026-06-03T00:00:00"/>
    <x v="53"/>
    <s v="MI-TEMPS"/>
    <x v="2"/>
  </r>
  <r>
    <d v="2026-06-03T00:00:00"/>
    <x v="128"/>
    <s v="AM"/>
    <x v="2"/>
  </r>
  <r>
    <d v="2026-06-03T00:00:00"/>
    <x v="54"/>
    <s v="DAY"/>
    <x v="2"/>
  </r>
  <r>
    <d v="2026-06-03T00:00:00"/>
    <x v="130"/>
    <s v="AM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143"/>
    <s v="PM"/>
    <x v="0"/>
  </r>
  <r>
    <d v="2026-06-03T00:00:00"/>
    <x v="60"/>
    <s v="PM"/>
    <x v="0"/>
  </r>
  <r>
    <d v="2026-06-03T00:00:00"/>
    <x v="136"/>
    <s v="PM"/>
    <x v="0"/>
  </r>
  <r>
    <d v="2026-06-03T00:00:00"/>
    <x v="144"/>
    <s v="PM"/>
    <x v="0"/>
  </r>
  <r>
    <d v="2026-06-03T00:00:00"/>
    <x v="148"/>
    <s v="PM"/>
    <x v="0"/>
  </r>
  <r>
    <d v="2026-06-03T00:00:00"/>
    <x v="84"/>
    <s v="PM"/>
    <x v="0"/>
  </r>
  <r>
    <d v="2026-06-03T00:00:00"/>
    <x v="152"/>
    <s v="PM"/>
    <x v="0"/>
  </r>
  <r>
    <d v="2026-06-03T00:00:00"/>
    <x v="68"/>
    <s v="PM"/>
    <x v="0"/>
  </r>
  <r>
    <d v="2026-06-03T00:00:00"/>
    <x v="92"/>
    <s v="PM"/>
    <x v="0"/>
  </r>
  <r>
    <d v="2026-06-03T00:00:00"/>
    <x v="155"/>
    <s v="PM"/>
    <x v="0"/>
  </r>
  <r>
    <d v="2026-06-03T00:00:00"/>
    <x v="137"/>
    <s v="PM"/>
    <x v="1"/>
  </r>
  <r>
    <d v="2026-06-03T00:00:00"/>
    <x v="146"/>
    <s v="PM"/>
    <x v="1"/>
  </r>
  <r>
    <d v="2026-06-03T00:00:00"/>
    <x v="151"/>
    <s v="PM"/>
    <x v="1"/>
  </r>
  <r>
    <d v="2026-06-03T00:00:00"/>
    <x v="140"/>
    <s v="PM"/>
    <x v="1"/>
  </r>
  <r>
    <d v="2026-06-03T00:00:00"/>
    <x v="73"/>
    <s v="PM"/>
    <x v="2"/>
  </r>
  <r>
    <d v="2026-06-03T00:00:00"/>
    <x v="74"/>
    <s v="PM"/>
    <x v="2"/>
  </r>
  <r>
    <d v="2026-06-03T00:00:00"/>
    <x v="59"/>
    <s v="PM"/>
    <x v="2"/>
  </r>
  <r>
    <d v="2026-06-03T00:00:00"/>
    <x v="142"/>
    <s v="PM"/>
    <x v="2"/>
  </r>
  <r>
    <d v="2026-06-03T00:00:00"/>
    <x v="78"/>
    <s v="PM"/>
    <x v="2"/>
  </r>
  <r>
    <d v="2026-06-03T00:00:00"/>
    <x v="132"/>
    <s v="PM"/>
    <x v="2"/>
  </r>
  <r>
    <d v="2026-06-03T00:00:00"/>
    <x v="80"/>
    <s v="PM"/>
    <x v="2"/>
  </r>
  <r>
    <d v="2026-06-03T00:00:00"/>
    <x v="62"/>
    <s v="PM"/>
    <x v="2"/>
  </r>
  <r>
    <d v="2026-06-03T00:00:00"/>
    <x v="145"/>
    <s v="PM"/>
    <x v="2"/>
  </r>
  <r>
    <d v="2026-06-03T00:00:00"/>
    <x v="82"/>
    <s v="PM"/>
    <x v="2"/>
  </r>
  <r>
    <d v="2026-06-03T00:00:00"/>
    <x v="138"/>
    <s v="PM"/>
    <x v="2"/>
  </r>
  <r>
    <d v="2026-06-03T00:00:00"/>
    <x v="63"/>
    <s v="PM"/>
    <x v="2"/>
  </r>
  <r>
    <d v="2026-06-03T00:00:00"/>
    <x v="150"/>
    <s v="PM"/>
    <x v="2"/>
  </r>
  <r>
    <d v="2026-06-03T00:00:00"/>
    <x v="65"/>
    <s v="PM"/>
    <x v="2"/>
  </r>
  <r>
    <d v="2026-06-03T00:00:00"/>
    <x v="87"/>
    <s v="PM"/>
    <x v="2"/>
  </r>
  <r>
    <d v="2026-06-03T00:00:00"/>
    <x v="67"/>
    <s v="PM"/>
    <x v="2"/>
  </r>
  <r>
    <d v="2026-06-03T00:00:00"/>
    <x v="70"/>
    <s v="PM"/>
    <x v="2"/>
  </r>
  <r>
    <d v="2026-06-03T00:00:00"/>
    <x v="93"/>
    <s v="PM"/>
    <x v="2"/>
  </r>
  <r>
    <d v="2026-06-03T00:00:00"/>
    <x v="153"/>
    <s v="PM"/>
    <x v="2"/>
  </r>
  <r>
    <d v="2026-06-03T00:00:00"/>
    <x v="94"/>
    <s v="PM"/>
    <x v="2"/>
  </r>
  <r>
    <d v="2026-06-03T00:00:00"/>
    <x v="154"/>
    <s v="PM"/>
    <x v="2"/>
  </r>
  <r>
    <d v="2026-06-03T00:00:00"/>
    <x v="141"/>
    <s v="PM"/>
    <x v="2"/>
  </r>
  <r>
    <d v="2026-06-03T00:00:00"/>
    <x v="156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6"/>
    <s v="AM"/>
    <x v="4"/>
  </r>
  <r>
    <d v="2026-06-03T00:00:00"/>
    <x v="0"/>
    <s v="AM"/>
    <x v="5"/>
  </r>
  <r>
    <d v="2026-06-03T00:00:00"/>
    <x v="17"/>
    <s v="AM"/>
    <x v="5"/>
  </r>
  <r>
    <d v="2026-06-03T00:00:00"/>
    <x v="104"/>
    <s v="AM"/>
    <x v="5"/>
  </r>
  <r>
    <d v="2026-06-03T00:00:00"/>
    <x v="110"/>
    <s v="AM"/>
    <x v="5"/>
  </r>
  <r>
    <d v="2026-06-03T00:00:00"/>
    <x v="105"/>
    <s v="AM"/>
    <x v="5"/>
  </r>
  <r>
    <d v="2026-06-03T00:00:00"/>
    <x v="111"/>
    <s v="AM"/>
    <x v="5"/>
  </r>
  <r>
    <d v="2026-06-03T00:00:00"/>
    <x v="22"/>
    <s v="AM"/>
    <x v="5"/>
  </r>
  <r>
    <d v="2026-06-03T00:00:00"/>
    <x v="11"/>
    <s v="AM"/>
    <x v="5"/>
  </r>
  <r>
    <d v="2026-06-03T00:00:00"/>
    <x v="2"/>
    <s v="AM"/>
    <x v="5"/>
  </r>
  <r>
    <d v="2026-06-03T00:00:00"/>
    <x v="118"/>
    <s v="AM"/>
    <x v="5"/>
  </r>
  <r>
    <d v="2026-06-03T00:00:00"/>
    <x v="33"/>
    <s v="AM"/>
    <x v="5"/>
  </r>
  <r>
    <d v="2026-06-03T00:00:00"/>
    <x v="34"/>
    <s v="AM"/>
    <x v="5"/>
  </r>
  <r>
    <d v="2026-06-03T00:00:00"/>
    <x v="119"/>
    <s v="AM"/>
    <x v="5"/>
  </r>
  <r>
    <d v="2026-06-03T00:00:00"/>
    <x v="36"/>
    <s v="AM"/>
    <x v="5"/>
  </r>
  <r>
    <d v="2026-06-03T00:00:00"/>
    <x v="41"/>
    <s v="AM"/>
    <x v="5"/>
  </r>
  <r>
    <d v="2026-06-03T00:00:00"/>
    <x v="107"/>
    <s v="AM"/>
    <x v="5"/>
  </r>
  <r>
    <d v="2026-06-03T00:00:00"/>
    <x v="47"/>
    <s v="AM"/>
    <x v="5"/>
  </r>
  <r>
    <d v="2026-06-03T00:00:00"/>
    <x v="102"/>
    <s v="AM"/>
    <x v="5"/>
  </r>
  <r>
    <d v="2026-06-03T00:00:00"/>
    <x v="49"/>
    <s v="AM"/>
    <x v="5"/>
  </r>
  <r>
    <d v="2026-06-03T00:00:00"/>
    <x v="109"/>
    <s v="AM"/>
    <x v="5"/>
  </r>
  <r>
    <d v="2026-06-03T00:00:00"/>
    <x v="7"/>
    <s v="AM"/>
    <x v="5"/>
  </r>
  <r>
    <d v="2026-06-03T00:00:00"/>
    <x v="124"/>
    <s v="AM"/>
    <x v="5"/>
  </r>
  <r>
    <d v="2026-06-03T00:00:00"/>
    <x v="52"/>
    <s v="AM"/>
    <x v="5"/>
  </r>
  <r>
    <d v="2026-06-03T00:00:00"/>
    <x v="127"/>
    <s v="AM"/>
    <x v="5"/>
  </r>
  <r>
    <d v="2026-06-03T00:00:00"/>
    <x v="129"/>
    <s v="AM"/>
    <x v="5"/>
  </r>
  <r>
    <d v="2026-06-03T00:00:00"/>
    <x v="114"/>
    <s v="DAY"/>
    <x v="6"/>
  </r>
  <r>
    <d v="2026-06-03T00:00:00"/>
    <x v="37"/>
    <s v="DAY"/>
    <x v="6"/>
  </r>
  <r>
    <d v="2026-06-03T00:00:00"/>
    <x v="46"/>
    <s v="MI-TEMPS"/>
    <x v="6"/>
  </r>
  <r>
    <d v="2026-06-03T00:00:00"/>
    <x v="86"/>
    <s v="PM"/>
    <x v="4"/>
  </r>
  <r>
    <d v="2026-06-03T00:00:00"/>
    <x v="76"/>
    <s v="PM"/>
    <x v="5"/>
  </r>
  <r>
    <d v="2026-06-03T00:00:00"/>
    <x v="75"/>
    <s v="PM"/>
    <x v="6"/>
  </r>
  <r>
    <d v="2026-06-03T00:00:00"/>
    <x v="77"/>
    <s v="PM"/>
    <x v="6"/>
  </r>
  <r>
    <d v="2026-06-03T00:00:00"/>
    <x v="61"/>
    <s v="PM"/>
    <x v="6"/>
  </r>
  <r>
    <d v="2026-06-03T00:00:00"/>
    <x v="83"/>
    <s v="PM"/>
    <x v="6"/>
  </r>
  <r>
    <d v="2026-06-03T00:00:00"/>
    <x v="64"/>
    <s v="PM"/>
    <x v="6"/>
  </r>
  <r>
    <d v="2026-06-03T00:00:00"/>
    <x v="85"/>
    <s v="PM"/>
    <x v="6"/>
  </r>
  <r>
    <d v="2026-06-03T00:00:00"/>
    <x v="89"/>
    <s v="PM"/>
    <x v="6"/>
  </r>
  <r>
    <d v="2026-06-03T00:00:00"/>
    <x v="90"/>
    <s v="PM"/>
    <x v="6"/>
  </r>
  <r>
    <d v="2026-06-03T00:00:00"/>
    <x v="91"/>
    <s v="PM"/>
    <x v="6"/>
  </r>
  <r>
    <d v="2026-06-03T00:00:00"/>
    <x v="133"/>
    <s v="PM"/>
    <x v="7"/>
  </r>
  <r>
    <d v="2026-06-03T00:00:00"/>
    <x v="134"/>
    <s v="PM"/>
    <x v="7"/>
  </r>
  <r>
    <d v="2026-06-03T00:00:00"/>
    <x v="135"/>
    <s v="PM"/>
    <x v="7"/>
  </r>
  <r>
    <d v="2026-06-03T00:00:00"/>
    <x v="79"/>
    <s v="PM"/>
    <x v="7"/>
  </r>
  <r>
    <d v="2026-06-03T00:00:00"/>
    <x v="81"/>
    <s v="PM"/>
    <x v="7"/>
  </r>
  <r>
    <d v="2026-06-03T00:00:00"/>
    <x v="147"/>
    <s v="PM"/>
    <x v="7"/>
  </r>
  <r>
    <d v="2026-06-03T00:00:00"/>
    <x v="139"/>
    <s v="PM"/>
    <x v="7"/>
  </r>
  <r>
    <d v="2026-06-03T00:00:00"/>
    <x v="149"/>
    <s v="PM"/>
    <x v="7"/>
  </r>
  <r>
    <d v="2026-06-03T00:00:00"/>
    <x v="66"/>
    <s v="PM"/>
    <x v="7"/>
  </r>
  <r>
    <d v="2026-06-03T00:00:00"/>
    <x v="88"/>
    <s v="PM"/>
    <x v="7"/>
  </r>
  <r>
    <d v="2026-06-03T00:00:00"/>
    <x v="69"/>
    <s v="PM"/>
    <x v="7"/>
  </r>
  <r>
    <d v="2026-06-03T00:00:00"/>
    <x v="71"/>
    <s v="PM"/>
    <x v="7"/>
  </r>
  <r>
    <d v="2026-06-03T00:00:00"/>
    <x v="72"/>
    <s v="PM"/>
    <x v="7"/>
  </r>
  <r>
    <d v="2026-06-03T00:00:00"/>
    <x v="95"/>
    <s v="PM"/>
    <x v="7"/>
  </r>
  <r>
    <d v="2026-06-03T00:00:00"/>
    <x v="131"/>
    <s v="PM"/>
    <x v="7"/>
  </r>
  <r>
    <d v="2026-06-03T00:00:00"/>
    <x v="10"/>
    <s v="AM"/>
    <x v="0"/>
  </r>
  <r>
    <d v="2026-06-03T00:00:00"/>
    <x v="0"/>
    <s v="AM"/>
    <x v="0"/>
  </r>
  <r>
    <d v="2026-06-03T00:00:00"/>
    <x v="105"/>
    <s v="AM"/>
    <x v="0"/>
  </r>
  <r>
    <d v="2026-06-03T00:00:00"/>
    <x v="22"/>
    <s v="AM"/>
    <x v="0"/>
  </r>
  <r>
    <d v="2026-06-03T00:00:00"/>
    <x v="118"/>
    <s v="AM"/>
    <x v="0"/>
  </r>
  <r>
    <d v="2026-06-03T00:00:00"/>
    <x v="44"/>
    <s v="MI-TEMPS"/>
    <x v="0"/>
  </r>
  <r>
    <d v="2026-06-03T00:00:00"/>
    <x v="46"/>
    <s v="MI-TEMPS"/>
    <x v="0"/>
  </r>
  <r>
    <d v="2026-06-03T00:00:00"/>
    <x v="47"/>
    <s v="AM"/>
    <x v="0"/>
  </r>
  <r>
    <d v="2026-06-03T00:00:00"/>
    <x v="5"/>
    <s v="AM"/>
    <x v="0"/>
  </r>
  <r>
    <d v="2026-06-03T00:00:00"/>
    <x v="6"/>
    <s v="AM"/>
    <x v="0"/>
  </r>
  <r>
    <d v="2026-06-03T00:00:00"/>
    <x v="106"/>
    <s v="AM"/>
    <x v="1"/>
  </r>
  <r>
    <d v="2026-06-03T00:00:00"/>
    <x v="42"/>
    <s v="MI-TEMPS"/>
    <x v="1"/>
  </r>
  <r>
    <d v="2026-06-03T00:00:00"/>
    <x v="124"/>
    <s v="AM"/>
    <x v="1"/>
  </r>
  <r>
    <d v="2026-06-03T00:00:00"/>
    <x v="127"/>
    <s v="AM"/>
    <x v="1"/>
  </r>
  <r>
    <d v="2026-06-03T00:00:00"/>
    <x v="14"/>
    <s v="AM"/>
    <x v="2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104"/>
    <s v="AM"/>
    <x v="2"/>
  </r>
  <r>
    <d v="2026-06-03T00:00:00"/>
    <x v="111"/>
    <s v="AM"/>
    <x v="2"/>
  </r>
  <r>
    <d v="2026-06-03T00:00:00"/>
    <x v="21"/>
    <s v="AM"/>
    <x v="2"/>
  </r>
  <r>
    <d v="2026-06-03T00:00:00"/>
    <x v="103"/>
    <s v="AM"/>
    <x v="2"/>
  </r>
  <r>
    <d v="2026-06-03T00:00:00"/>
    <x v="112"/>
    <s v="DAY"/>
    <x v="2"/>
  </r>
  <r>
    <d v="2026-06-03T00:00:00"/>
    <x v="1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113"/>
    <s v="AM"/>
    <x v="2"/>
  </r>
  <r>
    <d v="2026-06-03T00:00:00"/>
    <x v="114"/>
    <s v="DAY"/>
    <x v="2"/>
  </r>
  <r>
    <d v="2026-06-03T00:00:00"/>
    <x v="27"/>
    <s v="MI-TEMPS"/>
    <x v="2"/>
  </r>
  <r>
    <d v="2026-06-03T00:00:00"/>
    <x v="28"/>
    <s v="AM"/>
    <x v="2"/>
  </r>
  <r>
    <d v="2026-06-03T00:00:00"/>
    <x v="115"/>
    <s v="AM"/>
    <x v="2"/>
  </r>
  <r>
    <d v="2026-06-03T00:00:00"/>
    <x v="30"/>
    <s v="DAY"/>
    <x v="2"/>
  </r>
  <r>
    <d v="2026-06-03T00:00:00"/>
    <x v="2"/>
    <s v="AM"/>
    <x v="2"/>
  </r>
  <r>
    <d v="2026-06-03T00:00:00"/>
    <x v="116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4"/>
    <s v="AM"/>
    <x v="2"/>
  </r>
  <r>
    <d v="2026-06-03T00:00:00"/>
    <x v="35"/>
    <s v="AM"/>
    <x v="2"/>
  </r>
  <r>
    <d v="2026-06-03T00:00:00"/>
    <x v="37"/>
    <s v="DAY"/>
    <x v="2"/>
  </r>
  <r>
    <d v="2026-06-03T00:00:00"/>
    <x v="38"/>
    <s v="AM"/>
    <x v="2"/>
  </r>
  <r>
    <d v="2026-06-03T00:00:00"/>
    <x v="39"/>
    <s v="AM"/>
    <x v="2"/>
  </r>
  <r>
    <d v="2026-06-03T00:00:00"/>
    <x v="40"/>
    <s v="AM"/>
    <x v="2"/>
  </r>
  <r>
    <d v="2026-06-03T00:00:00"/>
    <x v="4"/>
    <s v="AM"/>
    <x v="2"/>
  </r>
  <r>
    <d v="2026-06-03T00:00:00"/>
    <x v="43"/>
    <s v="AM"/>
    <x v="2"/>
  </r>
  <r>
    <d v="2026-06-03T00:00:00"/>
    <x v="45"/>
    <s v="DAY"/>
    <x v="2"/>
  </r>
  <r>
    <d v="2026-06-03T00:00:00"/>
    <x v="107"/>
    <s v="AM"/>
    <x v="2"/>
  </r>
  <r>
    <d v="2026-06-03T00:00:00"/>
    <x v="122"/>
    <s v="AM"/>
    <x v="2"/>
  </r>
  <r>
    <d v="2026-06-03T00:00:00"/>
    <x v="102"/>
    <s v="AM"/>
    <x v="2"/>
  </r>
  <r>
    <d v="2026-06-03T00:00:00"/>
    <x v="109"/>
    <s v="AM"/>
    <x v="2"/>
  </r>
  <r>
    <d v="2026-06-03T00:00:00"/>
    <x v="8"/>
    <s v="AM"/>
    <x v="2"/>
  </r>
  <r>
    <d v="2026-06-03T00:00:00"/>
    <x v="9"/>
    <s v="AM"/>
    <x v="2"/>
  </r>
  <r>
    <d v="2026-06-03T00:00:00"/>
    <x v="125"/>
    <s v="DAY"/>
    <x v="2"/>
  </r>
  <r>
    <d v="2026-06-03T00:00:00"/>
    <x v="129"/>
    <s v="AM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4"/>
    <s v="PM"/>
    <x v="0"/>
  </r>
  <r>
    <d v="2026-06-03T00:00:00"/>
    <x v="75"/>
    <s v="PM"/>
    <x v="0"/>
  </r>
  <r>
    <d v="2026-06-03T00:00:00"/>
    <x v="77"/>
    <s v="PM"/>
    <x v="0"/>
  </r>
  <r>
    <d v="2026-06-03T00:00:00"/>
    <x v="61"/>
    <s v="PM"/>
    <x v="0"/>
  </r>
  <r>
    <d v="2026-06-03T00:00:00"/>
    <x v="81"/>
    <s v="PM"/>
    <x v="0"/>
  </r>
  <r>
    <d v="2026-06-03T00:00:00"/>
    <x v="64"/>
    <s v="PM"/>
    <x v="0"/>
  </r>
  <r>
    <d v="2026-06-03T00:00:00"/>
    <x v="85"/>
    <s v="PM"/>
    <x v="0"/>
  </r>
  <r>
    <d v="2026-06-03T00:00:00"/>
    <x v="91"/>
    <s v="PM"/>
    <x v="0"/>
  </r>
  <r>
    <d v="2026-06-03T00:00:00"/>
    <x v="155"/>
    <s v="PM"/>
    <x v="0"/>
  </r>
  <r>
    <d v="2026-06-03T00:00:00"/>
    <x v="131"/>
    <s v="PM"/>
    <x v="0"/>
  </r>
  <r>
    <d v="2026-06-03T00:00:00"/>
    <x v="144"/>
    <s v="PM"/>
    <x v="1"/>
  </r>
  <r>
    <d v="2026-06-03T00:00:00"/>
    <x v="148"/>
    <s v="PM"/>
    <x v="1"/>
  </r>
  <r>
    <d v="2026-06-03T00:00:00"/>
    <x v="89"/>
    <s v="PM"/>
    <x v="1"/>
  </r>
  <r>
    <d v="2026-06-03T00:00:00"/>
    <x v="153"/>
    <s v="PM"/>
    <x v="1"/>
  </r>
  <r>
    <d v="2026-06-03T00:00:00"/>
    <x v="73"/>
    <s v="PM"/>
    <x v="2"/>
  </r>
  <r>
    <d v="2026-06-03T00:00:00"/>
    <x v="135"/>
    <s v="PM"/>
    <x v="2"/>
  </r>
  <r>
    <d v="2026-06-03T00:00:00"/>
    <x v="142"/>
    <s v="PM"/>
    <x v="2"/>
  </r>
  <r>
    <d v="2026-06-03T00:00:00"/>
    <x v="143"/>
    <s v="PM"/>
    <x v="2"/>
  </r>
  <r>
    <d v="2026-06-03T00:00:00"/>
    <x v="78"/>
    <s v="PM"/>
    <x v="2"/>
  </r>
  <r>
    <d v="2026-06-03T00:00:00"/>
    <x v="132"/>
    <s v="PM"/>
    <x v="2"/>
  </r>
  <r>
    <d v="2026-06-03T00:00:00"/>
    <x v="80"/>
    <s v="PM"/>
    <x v="2"/>
  </r>
  <r>
    <d v="2026-06-03T00:00:00"/>
    <x v="62"/>
    <s v="PM"/>
    <x v="2"/>
  </r>
  <r>
    <d v="2026-06-03T00:00:00"/>
    <x v="82"/>
    <s v="PM"/>
    <x v="2"/>
  </r>
  <r>
    <d v="2026-06-03T00:00:00"/>
    <x v="146"/>
    <s v="PM"/>
    <x v="2"/>
  </r>
  <r>
    <d v="2026-06-03T00:00:00"/>
    <x v="138"/>
    <s v="PM"/>
    <x v="2"/>
  </r>
  <r>
    <d v="2026-06-03T00:00:00"/>
    <x v="149"/>
    <s v="PM"/>
    <x v="2"/>
  </r>
  <r>
    <d v="2026-06-03T00:00:00"/>
    <x v="150"/>
    <s v="PM"/>
    <x v="2"/>
  </r>
  <r>
    <d v="2026-06-03T00:00:00"/>
    <x v="84"/>
    <s v="PM"/>
    <x v="2"/>
  </r>
  <r>
    <d v="2026-06-03T00:00:00"/>
    <x v="86"/>
    <s v="PM"/>
    <x v="2"/>
  </r>
  <r>
    <d v="2026-06-03T00:00:00"/>
    <x v="66"/>
    <s v="PM"/>
    <x v="2"/>
  </r>
  <r>
    <d v="2026-06-03T00:00:00"/>
    <x v="152"/>
    <s v="PM"/>
    <x v="2"/>
  </r>
  <r>
    <d v="2026-06-03T00:00:00"/>
    <x v="67"/>
    <s v="PM"/>
    <x v="2"/>
  </r>
  <r>
    <d v="2026-06-03T00:00:00"/>
    <x v="70"/>
    <s v="PM"/>
    <x v="2"/>
  </r>
  <r>
    <d v="2026-06-03T00:00:00"/>
    <x v="140"/>
    <s v="PM"/>
    <x v="2"/>
  </r>
  <r>
    <d v="2026-06-03T00:00:00"/>
    <x v="92"/>
    <s v="PM"/>
    <x v="2"/>
  </r>
  <r>
    <d v="2026-06-03T00:00:00"/>
    <x v="72"/>
    <s v="PM"/>
    <x v="2"/>
  </r>
  <r>
    <d v="2026-06-03T00:00:00"/>
    <x v="94"/>
    <s v="PM"/>
    <x v="2"/>
  </r>
  <r>
    <d v="2026-06-03T00:00:00"/>
    <x v="95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7"/>
    <s v="AM"/>
    <x v="4"/>
  </r>
  <r>
    <d v="2026-06-03T00:00:00"/>
    <x v="12"/>
    <s v="AM"/>
    <x v="5"/>
  </r>
  <r>
    <d v="2026-06-03T00:00:00"/>
    <x v="26"/>
    <s v="AM"/>
    <x v="6"/>
  </r>
  <r>
    <d v="2026-06-03T00:00:00"/>
    <x v="29"/>
    <s v="AM"/>
    <x v="6"/>
  </r>
  <r>
    <d v="2026-06-03T00:00:00"/>
    <x v="36"/>
    <s v="AM"/>
    <x v="6"/>
  </r>
  <r>
    <d v="2026-06-03T00:00:00"/>
    <x v="41"/>
    <s v="AM"/>
    <x v="6"/>
  </r>
  <r>
    <d v="2026-06-03T00:00:00"/>
    <x v="51"/>
    <s v="DAY"/>
    <x v="6"/>
  </r>
  <r>
    <d v="2026-06-03T00:00:00"/>
    <x v="52"/>
    <s v="AM"/>
    <x v="6"/>
  </r>
  <r>
    <d v="2026-06-03T00:00:00"/>
    <x v="110"/>
    <s v="AM"/>
    <x v="7"/>
  </r>
  <r>
    <d v="2026-06-03T00:00:00"/>
    <x v="18"/>
    <s v="AM"/>
    <x v="7"/>
  </r>
  <r>
    <d v="2026-06-03T00:00:00"/>
    <x v="19"/>
    <s v="AM"/>
    <x v="7"/>
  </r>
  <r>
    <d v="2026-06-03T00:00:00"/>
    <x v="20"/>
    <s v="AM"/>
    <x v="7"/>
  </r>
  <r>
    <d v="2026-06-03T00:00:00"/>
    <x v="11"/>
    <s v="AM"/>
    <x v="7"/>
  </r>
  <r>
    <d v="2026-06-03T00:00:00"/>
    <x v="31"/>
    <s v="AM"/>
    <x v="7"/>
  </r>
  <r>
    <d v="2026-06-03T00:00:00"/>
    <x v="117"/>
    <s v="AM"/>
    <x v="7"/>
  </r>
  <r>
    <d v="2026-06-03T00:00:00"/>
    <x v="3"/>
    <s v="AM"/>
    <x v="7"/>
  </r>
  <r>
    <d v="2026-06-03T00:00:00"/>
    <x v="119"/>
    <s v="AM"/>
    <x v="7"/>
  </r>
  <r>
    <d v="2026-06-03T00:00:00"/>
    <x v="120"/>
    <s v="AM"/>
    <x v="7"/>
  </r>
  <r>
    <d v="2026-06-03T00:00:00"/>
    <x v="121"/>
    <s v="AM"/>
    <x v="7"/>
  </r>
  <r>
    <d v="2026-06-03T00:00:00"/>
    <x v="13"/>
    <s v="AM"/>
    <x v="7"/>
  </r>
  <r>
    <d v="2026-06-03T00:00:00"/>
    <x v="108"/>
    <s v="AM"/>
    <x v="7"/>
  </r>
  <r>
    <d v="2026-06-03T00:00:00"/>
    <x v="48"/>
    <s v="MI-TEMPS"/>
    <x v="7"/>
  </r>
  <r>
    <d v="2026-06-03T00:00:00"/>
    <x v="49"/>
    <s v="AM"/>
    <x v="7"/>
  </r>
  <r>
    <d v="2026-06-03T00:00:00"/>
    <x v="50"/>
    <s v="AM"/>
    <x v="7"/>
  </r>
  <r>
    <d v="2026-06-03T00:00:00"/>
    <x v="123"/>
    <s v="AM"/>
    <x v="7"/>
  </r>
  <r>
    <d v="2026-06-03T00:00:00"/>
    <x v="126"/>
    <s v="AM"/>
    <x v="7"/>
  </r>
  <r>
    <d v="2026-06-03T00:00:00"/>
    <x v="53"/>
    <s v="MI-TEMPS"/>
    <x v="7"/>
  </r>
  <r>
    <d v="2026-06-03T00:00:00"/>
    <x v="128"/>
    <s v="AM"/>
    <x v="7"/>
  </r>
  <r>
    <d v="2026-06-03T00:00:00"/>
    <x v="130"/>
    <s v="AM"/>
    <x v="7"/>
  </r>
  <r>
    <d v="2026-06-03T00:00:00"/>
    <x v="65"/>
    <s v="PM"/>
    <x v="4"/>
  </r>
  <r>
    <d v="2026-06-03T00:00:00"/>
    <x v="59"/>
    <s v="PM"/>
    <x v="5"/>
  </r>
  <r>
    <d v="2026-06-03T00:00:00"/>
    <x v="60"/>
    <s v="PM"/>
    <x v="6"/>
  </r>
  <r>
    <d v="2026-06-03T00:00:00"/>
    <x v="79"/>
    <s v="PM"/>
    <x v="6"/>
  </r>
  <r>
    <d v="2026-06-03T00:00:00"/>
    <x v="83"/>
    <s v="PM"/>
    <x v="6"/>
  </r>
  <r>
    <d v="2026-06-03T00:00:00"/>
    <x v="63"/>
    <s v="PM"/>
    <x v="6"/>
  </r>
  <r>
    <d v="2026-06-03T00:00:00"/>
    <x v="87"/>
    <s v="PM"/>
    <x v="6"/>
  </r>
  <r>
    <d v="2026-06-03T00:00:00"/>
    <x v="90"/>
    <s v="PM"/>
    <x v="6"/>
  </r>
  <r>
    <d v="2026-06-03T00:00:00"/>
    <x v="69"/>
    <s v="PM"/>
    <x v="6"/>
  </r>
  <r>
    <d v="2026-06-03T00:00:00"/>
    <x v="68"/>
    <s v="PM"/>
    <x v="6"/>
  </r>
  <r>
    <d v="2026-06-03T00:00:00"/>
    <x v="93"/>
    <s v="PM"/>
    <x v="6"/>
  </r>
  <r>
    <d v="2026-06-03T00:00:00"/>
    <x v="133"/>
    <s v="PM"/>
    <x v="7"/>
  </r>
  <r>
    <d v="2026-06-03T00:00:00"/>
    <x v="134"/>
    <s v="PM"/>
    <x v="7"/>
  </r>
  <r>
    <d v="2026-06-03T00:00:00"/>
    <x v="76"/>
    <s v="PM"/>
    <x v="7"/>
  </r>
  <r>
    <d v="2026-06-03T00:00:00"/>
    <x v="136"/>
    <s v="PM"/>
    <x v="7"/>
  </r>
  <r>
    <d v="2026-06-03T00:00:00"/>
    <x v="145"/>
    <s v="PM"/>
    <x v="7"/>
  </r>
  <r>
    <d v="2026-06-03T00:00:00"/>
    <x v="137"/>
    <s v="PM"/>
    <x v="7"/>
  </r>
  <r>
    <d v="2026-06-03T00:00:00"/>
    <x v="147"/>
    <s v="PM"/>
    <x v="7"/>
  </r>
  <r>
    <d v="2026-06-03T00:00:00"/>
    <x v="139"/>
    <s v="PM"/>
    <x v="7"/>
  </r>
  <r>
    <d v="2026-06-03T00:00:00"/>
    <x v="151"/>
    <s v="PM"/>
    <x v="7"/>
  </r>
  <r>
    <d v="2026-06-03T00:00:00"/>
    <x v="88"/>
    <s v="PM"/>
    <x v="7"/>
  </r>
  <r>
    <d v="2026-06-03T00:00:00"/>
    <x v="71"/>
    <s v="PM"/>
    <x v="7"/>
  </r>
  <r>
    <d v="2026-06-03T00:00:00"/>
    <x v="154"/>
    <s v="PM"/>
    <x v="7"/>
  </r>
  <r>
    <d v="2026-06-03T00:00:00"/>
    <x v="141"/>
    <s v="PM"/>
    <x v="7"/>
  </r>
  <r>
    <d v="2026-06-03T00:00:00"/>
    <x v="156"/>
    <s v="PM"/>
    <x v="7"/>
  </r>
  <r>
    <d v="2026-06-03T00:00:00"/>
    <x v="96"/>
    <s v="PM"/>
    <x v="7"/>
  </r>
  <r>
    <d v="2026-06-03T00:00:00"/>
    <x v="16"/>
    <s v="DAY"/>
    <x v="0"/>
  </r>
  <r>
    <d v="2026-06-03T00:00:00"/>
    <x v="17"/>
    <s v="AM"/>
    <x v="0"/>
  </r>
  <r>
    <d v="2026-06-03T00:00:00"/>
    <x v="104"/>
    <s v="AM"/>
    <x v="0"/>
  </r>
  <r>
    <d v="2026-06-03T00:00:00"/>
    <x v="111"/>
    <s v="AM"/>
    <x v="0"/>
  </r>
  <r>
    <d v="2026-06-03T00:00:00"/>
    <x v="26"/>
    <s v="AM"/>
    <x v="0"/>
  </r>
  <r>
    <d v="2026-06-03T00:00:00"/>
    <x v="107"/>
    <s v="AM"/>
    <x v="0"/>
  </r>
  <r>
    <d v="2026-06-03T00:00:00"/>
    <x v="122"/>
    <s v="AM"/>
    <x v="0"/>
  </r>
  <r>
    <d v="2026-06-03T00:00:00"/>
    <x v="109"/>
    <s v="AM"/>
    <x v="0"/>
  </r>
  <r>
    <d v="2026-06-03T00:00:00"/>
    <x v="7"/>
    <s v="AM"/>
    <x v="0"/>
  </r>
  <r>
    <d v="2026-06-03T00:00:00"/>
    <x v="54"/>
    <s v="DAY"/>
    <x v="0"/>
  </r>
  <r>
    <d v="2026-06-03T00:00:00"/>
    <x v="118"/>
    <s v="AM"/>
    <x v="1"/>
  </r>
  <r>
    <d v="2026-06-03T00:00:00"/>
    <x v="3"/>
    <s v="AM"/>
    <x v="1"/>
  </r>
  <r>
    <d v="2026-06-03T00:00:00"/>
    <x v="46"/>
    <s v="MI-TEMPS"/>
    <x v="1"/>
  </r>
  <r>
    <d v="2026-06-03T00:00:00"/>
    <x v="130"/>
    <s v="AM"/>
    <x v="1"/>
  </r>
  <r>
    <d v="2026-06-03T00:00:00"/>
    <x v="0"/>
    <s v="AM"/>
    <x v="2"/>
  </r>
  <r>
    <d v="2026-06-03T00:00:00"/>
    <x v="110"/>
    <s v="AM"/>
    <x v="2"/>
  </r>
  <r>
    <d v="2026-06-03T00:00:00"/>
    <x v="18"/>
    <s v="AM"/>
    <x v="2"/>
  </r>
  <r>
    <d v="2026-06-03T00:00:00"/>
    <x v="19"/>
    <s v="AM"/>
    <x v="2"/>
  </r>
  <r>
    <d v="2026-06-03T00:00:00"/>
    <x v="20"/>
    <s v="AM"/>
    <x v="2"/>
  </r>
  <r>
    <d v="2026-06-03T00:00:00"/>
    <x v="22"/>
    <s v="AM"/>
    <x v="2"/>
  </r>
  <r>
    <d v="2026-06-03T00:00:00"/>
    <x v="1"/>
    <s v="AM"/>
    <x v="2"/>
  </r>
  <r>
    <d v="2026-06-03T00:00:00"/>
    <x v="25"/>
    <s v="MI-TEMPS"/>
    <x v="2"/>
  </r>
  <r>
    <d v="2026-06-03T00:00:00"/>
    <x v="113"/>
    <s v="AM"/>
    <x v="2"/>
  </r>
  <r>
    <d v="2026-06-03T00:00:00"/>
    <x v="11"/>
    <s v="AM"/>
    <x v="2"/>
  </r>
  <r>
    <d v="2026-06-03T00:00:00"/>
    <x v="114"/>
    <s v="DAY"/>
    <x v="2"/>
  </r>
  <r>
    <d v="2026-06-03T00:00:00"/>
    <x v="27"/>
    <s v="MI-TEMPS"/>
    <x v="2"/>
  </r>
  <r>
    <d v="2026-06-03T00:00:00"/>
    <x v="115"/>
    <s v="AM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117"/>
    <s v="AM"/>
    <x v="2"/>
  </r>
  <r>
    <d v="2026-06-03T00:00:00"/>
    <x v="33"/>
    <s v="AM"/>
    <x v="2"/>
  </r>
  <r>
    <d v="2026-06-03T00:00:00"/>
    <x v="34"/>
    <s v="AM"/>
    <x v="2"/>
  </r>
  <r>
    <d v="2026-06-03T00:00:00"/>
    <x v="119"/>
    <s v="AM"/>
    <x v="2"/>
  </r>
  <r>
    <d v="2026-06-03T00:00:00"/>
    <x v="35"/>
    <s v="AM"/>
    <x v="2"/>
  </r>
  <r>
    <d v="2026-06-03T00:00:00"/>
    <x v="120"/>
    <s v="AM"/>
    <x v="2"/>
  </r>
  <r>
    <d v="2026-06-03T00:00:00"/>
    <x v="37"/>
    <s v="DAY"/>
    <x v="2"/>
  </r>
  <r>
    <d v="2026-06-03T00:00:00"/>
    <x v="4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7"/>
    <s v="AM"/>
    <x v="2"/>
  </r>
  <r>
    <d v="2026-06-03T00:00:00"/>
    <x v="108"/>
    <s v="AM"/>
    <x v="2"/>
  </r>
  <r>
    <d v="2026-06-03T00:00:00"/>
    <x v="48"/>
    <s v="MI-TEMPS"/>
    <x v="2"/>
  </r>
  <r>
    <d v="2026-06-03T00:00:00"/>
    <x v="49"/>
    <s v="AM"/>
    <x v="2"/>
  </r>
  <r>
    <d v="2026-06-03T00:00:00"/>
    <x v="50"/>
    <s v="AM"/>
    <x v="2"/>
  </r>
  <r>
    <d v="2026-06-03T00:00:00"/>
    <x v="8"/>
    <s v="AM"/>
    <x v="2"/>
  </r>
  <r>
    <d v="2026-06-03T00:00:00"/>
    <x v="52"/>
    <s v="AM"/>
    <x v="2"/>
  </r>
  <r>
    <d v="2026-06-03T00:00:00"/>
    <x v="125"/>
    <s v="DAY"/>
    <x v="2"/>
  </r>
  <r>
    <d v="2026-06-03T00:00:00"/>
    <x v="126"/>
    <s v="AM"/>
    <x v="2"/>
  </r>
  <r>
    <d v="2026-06-03T00:00:00"/>
    <x v="53"/>
    <s v="MI-TEMPS"/>
    <x v="2"/>
  </r>
  <r>
    <d v="2026-06-03T00:00:00"/>
    <x v="129"/>
    <s v="AM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142"/>
    <s v="PM"/>
    <x v="0"/>
  </r>
  <r>
    <d v="2026-06-03T00:00:00"/>
    <x v="79"/>
    <s v="PM"/>
    <x v="0"/>
  </r>
  <r>
    <d v="2026-06-03T00:00:00"/>
    <x v="62"/>
    <s v="PM"/>
    <x v="0"/>
  </r>
  <r>
    <d v="2026-06-03T00:00:00"/>
    <x v="147"/>
    <s v="PM"/>
    <x v="0"/>
  </r>
  <r>
    <d v="2026-06-03T00:00:00"/>
    <x v="149"/>
    <s v="PM"/>
    <x v="0"/>
  </r>
  <r>
    <d v="2026-06-03T00:00:00"/>
    <x v="88"/>
    <s v="PM"/>
    <x v="0"/>
  </r>
  <r>
    <d v="2026-06-03T00:00:00"/>
    <x v="90"/>
    <s v="PM"/>
    <x v="0"/>
  </r>
  <r>
    <d v="2026-06-03T00:00:00"/>
    <x v="153"/>
    <s v="PM"/>
    <x v="0"/>
  </r>
  <r>
    <d v="2026-06-03T00:00:00"/>
    <x v="154"/>
    <s v="PM"/>
    <x v="0"/>
  </r>
  <r>
    <d v="2026-06-03T00:00:00"/>
    <x v="96"/>
    <s v="PM"/>
    <x v="0"/>
  </r>
  <r>
    <d v="2026-06-03T00:00:00"/>
    <x v="135"/>
    <s v="PM"/>
    <x v="1"/>
  </r>
  <r>
    <d v="2026-06-03T00:00:00"/>
    <x v="148"/>
    <s v="PM"/>
    <x v="1"/>
  </r>
  <r>
    <d v="2026-06-03T00:00:00"/>
    <x v="86"/>
    <s v="PM"/>
    <x v="1"/>
  </r>
  <r>
    <d v="2026-06-03T00:00:00"/>
    <x v="131"/>
    <s v="PM"/>
    <x v="1"/>
  </r>
  <r>
    <d v="2026-06-03T00:00:00"/>
    <x v="74"/>
    <s v="PM"/>
    <x v="2"/>
  </r>
  <r>
    <d v="2026-06-03T00:00:00"/>
    <x v="133"/>
    <s v="PM"/>
    <x v="2"/>
  </r>
  <r>
    <d v="2026-06-03T00:00:00"/>
    <x v="134"/>
    <s v="PM"/>
    <x v="2"/>
  </r>
  <r>
    <d v="2026-06-03T00:00:00"/>
    <x v="143"/>
    <s v="PM"/>
    <x v="2"/>
  </r>
  <r>
    <d v="2026-06-03T00:00:00"/>
    <x v="75"/>
    <s v="PM"/>
    <x v="2"/>
  </r>
  <r>
    <d v="2026-06-03T00:00:00"/>
    <x v="77"/>
    <s v="PM"/>
    <x v="2"/>
  </r>
  <r>
    <d v="2026-06-03T00:00:00"/>
    <x v="132"/>
    <s v="PM"/>
    <x v="2"/>
  </r>
  <r>
    <d v="2026-06-03T00:00:00"/>
    <x v="61"/>
    <s v="PM"/>
    <x v="2"/>
  </r>
  <r>
    <d v="2026-06-03T00:00:00"/>
    <x v="81"/>
    <s v="PM"/>
    <x v="2"/>
  </r>
  <r>
    <d v="2026-06-03T00:00:00"/>
    <x v="144"/>
    <s v="PM"/>
    <x v="2"/>
  </r>
  <r>
    <d v="2026-06-03T00:00:00"/>
    <x v="145"/>
    <s v="PM"/>
    <x v="2"/>
  </r>
  <r>
    <d v="2026-06-03T00:00:00"/>
    <x v="138"/>
    <s v="PM"/>
    <x v="2"/>
  </r>
  <r>
    <d v="2026-06-03T00:00:00"/>
    <x v="64"/>
    <s v="PM"/>
    <x v="2"/>
  </r>
  <r>
    <d v="2026-06-03T00:00:00"/>
    <x v="150"/>
    <s v="PM"/>
    <x v="2"/>
  </r>
  <r>
    <d v="2026-06-03T00:00:00"/>
    <x v="151"/>
    <s v="PM"/>
    <x v="2"/>
  </r>
  <r>
    <d v="2026-06-03T00:00:00"/>
    <x v="84"/>
    <s v="PM"/>
    <x v="2"/>
  </r>
  <r>
    <d v="2026-06-03T00:00:00"/>
    <x v="85"/>
    <s v="PM"/>
    <x v="2"/>
  </r>
  <r>
    <d v="2026-06-03T00:00:00"/>
    <x v="152"/>
    <s v="PM"/>
    <x v="2"/>
  </r>
  <r>
    <d v="2026-06-03T00:00:00"/>
    <x v="89"/>
    <s v="PM"/>
    <x v="2"/>
  </r>
  <r>
    <d v="2026-06-03T00:00:00"/>
    <x v="69"/>
    <s v="PM"/>
    <x v="2"/>
  </r>
  <r>
    <d v="2026-06-03T00:00:00"/>
    <x v="140"/>
    <s v="PM"/>
    <x v="2"/>
  </r>
  <r>
    <d v="2026-06-03T00:00:00"/>
    <x v="94"/>
    <s v="PM"/>
    <x v="2"/>
  </r>
  <r>
    <d v="2026-06-03T00:00:00"/>
    <x v="155"/>
    <s v="PM"/>
    <x v="2"/>
  </r>
  <r>
    <d v="2026-06-03T00:00:00"/>
    <x v="95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28"/>
    <s v="AM"/>
    <x v="4"/>
  </r>
  <r>
    <d v="2026-06-03T00:00:00"/>
    <x v="10"/>
    <s v="AM"/>
    <x v="5"/>
  </r>
  <r>
    <d v="2026-06-03T00:00:00"/>
    <x v="14"/>
    <s v="AM"/>
    <x v="6"/>
  </r>
  <r>
    <d v="2026-06-03T00:00:00"/>
    <x v="15"/>
    <s v="AM"/>
    <x v="6"/>
  </r>
  <r>
    <d v="2026-06-03T00:00:00"/>
    <x v="23"/>
    <s v="AM"/>
    <x v="6"/>
  </r>
  <r>
    <d v="2026-06-03T00:00:00"/>
    <x v="24"/>
    <s v="MI-TEMPS"/>
    <x v="6"/>
  </r>
  <r>
    <d v="2026-06-03T00:00:00"/>
    <x v="38"/>
    <s v="AM"/>
    <x v="6"/>
  </r>
  <r>
    <d v="2026-06-03T00:00:00"/>
    <x v="6"/>
    <s v="AM"/>
    <x v="6"/>
  </r>
  <r>
    <d v="2026-06-03T00:00:00"/>
    <x v="105"/>
    <s v="AM"/>
    <x v="7"/>
  </r>
  <r>
    <d v="2026-06-03T00:00:00"/>
    <x v="21"/>
    <s v="AM"/>
    <x v="7"/>
  </r>
  <r>
    <d v="2026-06-03T00:00:00"/>
    <x v="103"/>
    <s v="AM"/>
    <x v="7"/>
  </r>
  <r>
    <d v="2026-06-03T00:00:00"/>
    <x v="112"/>
    <s v="DAY"/>
    <x v="7"/>
  </r>
  <r>
    <d v="2026-06-03T00:00:00"/>
    <x v="106"/>
    <s v="AM"/>
    <x v="7"/>
  </r>
  <r>
    <d v="2026-06-03T00:00:00"/>
    <x v="29"/>
    <s v="AM"/>
    <x v="7"/>
  </r>
  <r>
    <d v="2026-06-03T00:00:00"/>
    <x v="116"/>
    <s v="AM"/>
    <x v="7"/>
  </r>
  <r>
    <d v="2026-06-03T00:00:00"/>
    <x v="12"/>
    <s v="AM"/>
    <x v="7"/>
  </r>
  <r>
    <d v="2026-06-03T00:00:00"/>
    <x v="36"/>
    <s v="AM"/>
    <x v="7"/>
  </r>
  <r>
    <d v="2026-06-03T00:00:00"/>
    <x v="121"/>
    <s v="AM"/>
    <x v="7"/>
  </r>
  <r>
    <d v="2026-06-03T00:00:00"/>
    <x v="39"/>
    <s v="AM"/>
    <x v="7"/>
  </r>
  <r>
    <d v="2026-06-03T00:00:00"/>
    <x v="40"/>
    <s v="AM"/>
    <x v="7"/>
  </r>
  <r>
    <d v="2026-06-03T00:00:00"/>
    <x v="13"/>
    <s v="AM"/>
    <x v="7"/>
  </r>
  <r>
    <d v="2026-06-03T00:00:00"/>
    <x v="102"/>
    <s v="AM"/>
    <x v="7"/>
  </r>
  <r>
    <d v="2026-06-03T00:00:00"/>
    <x v="123"/>
    <s v="AM"/>
    <x v="7"/>
  </r>
  <r>
    <d v="2026-06-03T00:00:00"/>
    <x v="5"/>
    <s v="AM"/>
    <x v="7"/>
  </r>
  <r>
    <d v="2026-06-03T00:00:00"/>
    <x v="124"/>
    <s v="AM"/>
    <x v="7"/>
  </r>
  <r>
    <d v="2026-06-03T00:00:00"/>
    <x v="9"/>
    <s v="AM"/>
    <x v="7"/>
  </r>
  <r>
    <d v="2026-06-03T00:00:00"/>
    <x v="51"/>
    <s v="DAY"/>
    <x v="7"/>
  </r>
  <r>
    <d v="2026-06-03T00:00:00"/>
    <x v="127"/>
    <s v="AM"/>
    <x v="7"/>
  </r>
  <r>
    <d v="2026-06-03T00:00:00"/>
    <x v="128"/>
    <s v="AM"/>
    <x v="7"/>
  </r>
  <r>
    <d v="2026-06-03T00:00:00"/>
    <x v="60"/>
    <s v="PM"/>
    <x v="4"/>
  </r>
  <r>
    <d v="2026-06-03T00:00:00"/>
    <x v="146"/>
    <s v="PM"/>
    <x v="5"/>
  </r>
  <r>
    <d v="2026-06-03T00:00:00"/>
    <x v="76"/>
    <s v="PM"/>
    <x v="6"/>
  </r>
  <r>
    <d v="2026-06-03T00:00:00"/>
    <x v="78"/>
    <s v="PM"/>
    <x v="6"/>
  </r>
  <r>
    <d v="2026-06-03T00:00:00"/>
    <x v="80"/>
    <s v="PM"/>
    <x v="6"/>
  </r>
  <r>
    <d v="2026-06-03T00:00:00"/>
    <x v="82"/>
    <s v="PM"/>
    <x v="6"/>
  </r>
  <r>
    <d v="2026-06-03T00:00:00"/>
    <x v="63"/>
    <s v="PM"/>
    <x v="6"/>
  </r>
  <r>
    <d v="2026-06-03T00:00:00"/>
    <x v="66"/>
    <s v="PM"/>
    <x v="6"/>
  </r>
  <r>
    <d v="2026-06-03T00:00:00"/>
    <x v="91"/>
    <s v="PM"/>
    <x v="6"/>
  </r>
  <r>
    <d v="2026-06-03T00:00:00"/>
    <x v="67"/>
    <s v="PM"/>
    <x v="6"/>
  </r>
  <r>
    <d v="2026-06-03T00:00:00"/>
    <x v="68"/>
    <s v="PM"/>
    <x v="6"/>
  </r>
  <r>
    <d v="2026-06-03T00:00:00"/>
    <x v="73"/>
    <s v="PM"/>
    <x v="7"/>
  </r>
  <r>
    <d v="2026-06-03T00:00:00"/>
    <x v="59"/>
    <s v="PM"/>
    <x v="7"/>
  </r>
  <r>
    <d v="2026-06-03T00:00:00"/>
    <x v="136"/>
    <s v="PM"/>
    <x v="7"/>
  </r>
  <r>
    <d v="2026-06-03T00:00:00"/>
    <x v="137"/>
    <s v="PM"/>
    <x v="7"/>
  </r>
  <r>
    <d v="2026-06-03T00:00:00"/>
    <x v="83"/>
    <s v="PM"/>
    <x v="7"/>
  </r>
  <r>
    <d v="2026-06-03T00:00:00"/>
    <x v="139"/>
    <s v="PM"/>
    <x v="7"/>
  </r>
  <r>
    <d v="2026-06-03T00:00:00"/>
    <x v="65"/>
    <s v="PM"/>
    <x v="7"/>
  </r>
  <r>
    <d v="2026-06-03T00:00:00"/>
    <x v="87"/>
    <s v="PM"/>
    <x v="7"/>
  </r>
  <r>
    <d v="2026-06-03T00:00:00"/>
    <x v="70"/>
    <s v="PM"/>
    <x v="7"/>
  </r>
  <r>
    <d v="2026-06-03T00:00:00"/>
    <x v="71"/>
    <s v="PM"/>
    <x v="7"/>
  </r>
  <r>
    <d v="2026-06-03T00:00:00"/>
    <x v="92"/>
    <s v="PM"/>
    <x v="7"/>
  </r>
  <r>
    <d v="2026-06-03T00:00:00"/>
    <x v="93"/>
    <s v="PM"/>
    <x v="7"/>
  </r>
  <r>
    <d v="2026-06-03T00:00:00"/>
    <x v="72"/>
    <s v="PM"/>
    <x v="7"/>
  </r>
  <r>
    <d v="2026-06-03T00:00:00"/>
    <x v="141"/>
    <s v="PM"/>
    <x v="7"/>
  </r>
  <r>
    <d v="2026-06-03T00:00:00"/>
    <x v="156"/>
    <s v="PM"/>
    <x v="7"/>
  </r>
  <r>
    <d v="2026-06-03T00:00:00"/>
    <x v="20"/>
    <s v="AM"/>
    <x v="0"/>
  </r>
  <r>
    <d v="2026-06-03T00:00:00"/>
    <x v="21"/>
    <s v="AM"/>
    <x v="0"/>
  </r>
  <r>
    <d v="2026-06-03T00:00:00"/>
    <x v="34"/>
    <s v="AM"/>
    <x v="0"/>
  </r>
  <r>
    <d v="2026-06-03T00:00:00"/>
    <x v="12"/>
    <s v="AM"/>
    <x v="0"/>
  </r>
  <r>
    <d v="2026-06-03T00:00:00"/>
    <x v="38"/>
    <s v="AM"/>
    <x v="0"/>
  </r>
  <r>
    <d v="2026-06-03T00:00:00"/>
    <x v="41"/>
    <s v="AM"/>
    <x v="0"/>
  </r>
  <r>
    <d v="2026-06-03T00:00:00"/>
    <x v="42"/>
    <s v="MI-TEMPS"/>
    <x v="0"/>
  </r>
  <r>
    <d v="2026-06-03T00:00:00"/>
    <x v="9"/>
    <s v="AM"/>
    <x v="0"/>
  </r>
  <r>
    <d v="2026-06-03T00:00:00"/>
    <x v="52"/>
    <s v="AM"/>
    <x v="0"/>
  </r>
  <r>
    <d v="2026-06-03T00:00:00"/>
    <x v="53"/>
    <s v="MI-TEMPS"/>
    <x v="0"/>
  </r>
  <r>
    <d v="2026-06-03T00:00:00"/>
    <x v="22"/>
    <s v="AM"/>
    <x v="1"/>
  </r>
  <r>
    <d v="2026-06-03T00:00:00"/>
    <x v="24"/>
    <s v="MI-TEMPS"/>
    <x v="1"/>
  </r>
  <r>
    <d v="2026-06-03T00:00:00"/>
    <x v="26"/>
    <s v="AM"/>
    <x v="1"/>
  </r>
  <r>
    <d v="2026-06-03T00:00:00"/>
    <x v="13"/>
    <s v="AM"/>
    <x v="1"/>
  </r>
  <r>
    <d v="2026-06-03T00:00:00"/>
    <x v="10"/>
    <s v="AM"/>
    <x v="2"/>
  </r>
  <r>
    <d v="2026-06-03T00:00:00"/>
    <x v="14"/>
    <s v="AM"/>
    <x v="2"/>
  </r>
  <r>
    <d v="2026-06-03T00:00:00"/>
    <x v="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18"/>
    <s v="AM"/>
    <x v="2"/>
  </r>
  <r>
    <d v="2026-06-03T00:00:00"/>
    <x v="19"/>
    <s v="AM"/>
    <x v="2"/>
  </r>
  <r>
    <d v="2026-06-03T00:00:00"/>
    <x v="1"/>
    <s v="AM"/>
    <x v="2"/>
  </r>
  <r>
    <d v="2026-06-03T00:00:00"/>
    <x v="23"/>
    <s v="AM"/>
    <x v="2"/>
  </r>
  <r>
    <d v="2026-06-03T00:00:00"/>
    <x v="25"/>
    <s v="MI-TEMPS"/>
    <x v="2"/>
  </r>
  <r>
    <d v="2026-06-03T00:00:00"/>
    <x v="11"/>
    <s v="AM"/>
    <x v="2"/>
  </r>
  <r>
    <d v="2026-06-03T00:00:00"/>
    <x v="27"/>
    <s v="MI-TEMPS"/>
    <x v="2"/>
  </r>
  <r>
    <d v="2026-06-03T00:00:00"/>
    <x v="28"/>
    <s v="AM"/>
    <x v="2"/>
  </r>
  <r>
    <d v="2026-06-03T00:00:00"/>
    <x v="29"/>
    <s v="AM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32"/>
    <s v="MI-TEMPS"/>
    <x v="2"/>
  </r>
  <r>
    <d v="2026-06-03T00:00:00"/>
    <x v="33"/>
    <s v="AM"/>
    <x v="2"/>
  </r>
  <r>
    <d v="2026-06-03T00:00:00"/>
    <x v="3"/>
    <s v="AM"/>
    <x v="2"/>
  </r>
  <r>
    <d v="2026-06-03T00:00:00"/>
    <x v="35"/>
    <s v="AM"/>
    <x v="2"/>
  </r>
  <r>
    <d v="2026-06-03T00:00:00"/>
    <x v="36"/>
    <s v="AM"/>
    <x v="2"/>
  </r>
  <r>
    <d v="2026-06-03T00:00:00"/>
    <x v="37"/>
    <s v="DAY"/>
    <x v="2"/>
  </r>
  <r>
    <d v="2026-06-03T00:00:00"/>
    <x v="39"/>
    <s v="AM"/>
    <x v="2"/>
  </r>
  <r>
    <d v="2026-06-03T00:00:00"/>
    <x v="40"/>
    <s v="AM"/>
    <x v="2"/>
  </r>
  <r>
    <d v="2026-06-03T00:00:00"/>
    <x v="4"/>
    <s v="AM"/>
    <x v="2"/>
  </r>
  <r>
    <d v="2026-06-03T00:00:00"/>
    <x v="43"/>
    <s v="AM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7"/>
    <s v="AM"/>
    <x v="2"/>
  </r>
  <r>
    <d v="2026-06-03T00:00:00"/>
    <x v="48"/>
    <s v="MI-TEMPS"/>
    <x v="2"/>
  </r>
  <r>
    <d v="2026-06-03T00:00:00"/>
    <x v="49"/>
    <s v="AM"/>
    <x v="2"/>
  </r>
  <r>
    <d v="2026-06-03T00:00:00"/>
    <x v="50"/>
    <s v="AM"/>
    <x v="2"/>
  </r>
  <r>
    <d v="2026-06-03T00:00:00"/>
    <x v="5"/>
    <s v="AM"/>
    <x v="2"/>
  </r>
  <r>
    <d v="2026-06-03T00:00:00"/>
    <x v="6"/>
    <s v="AM"/>
    <x v="2"/>
  </r>
  <r>
    <d v="2026-06-03T00:00:00"/>
    <x v="7"/>
    <s v="AM"/>
    <x v="2"/>
  </r>
  <r>
    <d v="2026-06-03T00:00:00"/>
    <x v="8"/>
    <s v="AM"/>
    <x v="2"/>
  </r>
  <r>
    <d v="2026-06-03T00:00:00"/>
    <x v="51"/>
    <s v="DAY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8"/>
    <s v="AM"/>
    <x v="3"/>
  </r>
  <r>
    <d v="2026-06-03T00:00:00"/>
    <x v="73"/>
    <s v="PM"/>
    <x v="0"/>
  </r>
  <r>
    <d v="2026-06-03T00:00:00"/>
    <x v="59"/>
    <s v="PM"/>
    <x v="0"/>
  </r>
  <r>
    <d v="2026-06-03T00:00:00"/>
    <x v="76"/>
    <s v="PM"/>
    <x v="0"/>
  </r>
  <r>
    <d v="2026-06-03T00:00:00"/>
    <x v="83"/>
    <s v="PM"/>
    <x v="0"/>
  </r>
  <r>
    <d v="2026-06-03T00:00:00"/>
    <x v="66"/>
    <s v="PM"/>
    <x v="0"/>
  </r>
  <r>
    <d v="2026-06-03T00:00:00"/>
    <x v="87"/>
    <s v="PM"/>
    <x v="0"/>
  </r>
  <r>
    <d v="2026-06-03T00:00:00"/>
    <x v="71"/>
    <s v="PM"/>
    <x v="0"/>
  </r>
  <r>
    <d v="2026-06-03T00:00:00"/>
    <x v="93"/>
    <s v="PM"/>
    <x v="0"/>
  </r>
  <r>
    <d v="2026-06-03T00:00:00"/>
    <x v="72"/>
    <s v="PM"/>
    <x v="0"/>
  </r>
  <r>
    <d v="2026-06-03T00:00:00"/>
    <x v="95"/>
    <s v="PM"/>
    <x v="0"/>
  </r>
  <r>
    <d v="2026-06-03T00:00:00"/>
    <x v="60"/>
    <s v="PM"/>
    <x v="1"/>
  </r>
  <r>
    <d v="2026-06-03T00:00:00"/>
    <x v="77"/>
    <s v="PM"/>
    <x v="1"/>
  </r>
  <r>
    <d v="2026-06-03T00:00:00"/>
    <x v="84"/>
    <s v="PM"/>
    <x v="1"/>
  </r>
  <r>
    <d v="2026-06-03T00:00:00"/>
    <x v="68"/>
    <s v="PM"/>
    <x v="1"/>
  </r>
  <r>
    <d v="2026-06-03T00:00:00"/>
    <x v="74"/>
    <s v="PM"/>
    <x v="2"/>
  </r>
  <r>
    <d v="2026-06-03T00:00:00"/>
    <x v="75"/>
    <s v="PM"/>
    <x v="2"/>
  </r>
  <r>
    <d v="2026-06-03T00:00:00"/>
    <x v="78"/>
    <s v="PM"/>
    <x v="2"/>
  </r>
  <r>
    <d v="2026-06-03T00:00:00"/>
    <x v="79"/>
    <s v="PM"/>
    <x v="2"/>
  </r>
  <r>
    <d v="2026-06-03T00:00:00"/>
    <x v="61"/>
    <s v="PM"/>
    <x v="2"/>
  </r>
  <r>
    <d v="2026-06-03T00:00:00"/>
    <x v="80"/>
    <s v="PM"/>
    <x v="2"/>
  </r>
  <r>
    <d v="2026-06-03T00:00:00"/>
    <x v="81"/>
    <s v="PM"/>
    <x v="2"/>
  </r>
  <r>
    <d v="2026-06-03T00:00:00"/>
    <x v="62"/>
    <s v="PM"/>
    <x v="2"/>
  </r>
  <r>
    <d v="2026-06-03T00:00:00"/>
    <x v="82"/>
    <s v="PM"/>
    <x v="2"/>
  </r>
  <r>
    <d v="2026-06-03T00:00:00"/>
    <x v="63"/>
    <s v="PM"/>
    <x v="2"/>
  </r>
  <r>
    <d v="2026-06-03T00:00:00"/>
    <x v="64"/>
    <s v="PM"/>
    <x v="2"/>
  </r>
  <r>
    <d v="2026-06-03T00:00:00"/>
    <x v="65"/>
    <s v="PM"/>
    <x v="2"/>
  </r>
  <r>
    <d v="2026-06-03T00:00:00"/>
    <x v="85"/>
    <s v="PM"/>
    <x v="2"/>
  </r>
  <r>
    <d v="2026-06-03T00:00:00"/>
    <x v="86"/>
    <s v="PM"/>
    <x v="2"/>
  </r>
  <r>
    <d v="2026-06-03T00:00:00"/>
    <x v="88"/>
    <s v="PM"/>
    <x v="2"/>
  </r>
  <r>
    <d v="2026-06-03T00:00:00"/>
    <x v="89"/>
    <s v="PM"/>
    <x v="2"/>
  </r>
  <r>
    <d v="2026-06-03T00:00:00"/>
    <x v="90"/>
    <s v="PM"/>
    <x v="2"/>
  </r>
  <r>
    <d v="2026-06-03T00:00:00"/>
    <x v="69"/>
    <s v="PM"/>
    <x v="2"/>
  </r>
  <r>
    <d v="2026-06-03T00:00:00"/>
    <x v="91"/>
    <s v="PM"/>
    <x v="2"/>
  </r>
  <r>
    <d v="2026-06-03T00:00:00"/>
    <x v="67"/>
    <s v="PM"/>
    <x v="2"/>
  </r>
  <r>
    <d v="2026-06-03T00:00:00"/>
    <x v="70"/>
    <s v="PM"/>
    <x v="2"/>
  </r>
  <r>
    <d v="2026-06-03T00:00:00"/>
    <x v="92"/>
    <s v="PM"/>
    <x v="2"/>
  </r>
  <r>
    <d v="2026-06-03T00:00:00"/>
    <x v="94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20"/>
    <s v="AM"/>
    <x v="4"/>
  </r>
  <r>
    <d v="2026-06-03T00:00:00"/>
    <x v="130"/>
    <s v="AM"/>
    <x v="5"/>
  </r>
  <r>
    <d v="2026-06-03T00:00:00"/>
    <x v="121"/>
    <s v="AM"/>
    <x v="6"/>
  </r>
  <r>
    <d v="2026-06-03T00:00:00"/>
    <x v="107"/>
    <s v="AM"/>
    <x v="6"/>
  </r>
  <r>
    <d v="2026-06-03T00:00:00"/>
    <x v="108"/>
    <s v="AM"/>
    <x v="6"/>
  </r>
  <r>
    <d v="2026-06-03T00:00:00"/>
    <x v="102"/>
    <s v="AM"/>
    <x v="6"/>
  </r>
  <r>
    <d v="2026-06-03T00:00:00"/>
    <x v="124"/>
    <s v="AM"/>
    <x v="6"/>
  </r>
  <r>
    <d v="2026-06-03T00:00:00"/>
    <x v="129"/>
    <s v="AM"/>
    <x v="6"/>
  </r>
  <r>
    <d v="2026-06-03T00:00:00"/>
    <x v="104"/>
    <s v="AM"/>
    <x v="7"/>
  </r>
  <r>
    <d v="2026-06-03T00:00:00"/>
    <x v="110"/>
    <s v="AM"/>
    <x v="7"/>
  </r>
  <r>
    <d v="2026-06-03T00:00:00"/>
    <x v="105"/>
    <s v="AM"/>
    <x v="7"/>
  </r>
  <r>
    <d v="2026-06-03T00:00:00"/>
    <x v="111"/>
    <s v="AM"/>
    <x v="7"/>
  </r>
  <r>
    <d v="2026-06-03T00:00:00"/>
    <x v="103"/>
    <s v="AM"/>
    <x v="7"/>
  </r>
  <r>
    <d v="2026-06-03T00:00:00"/>
    <x v="112"/>
    <s v="DAY"/>
    <x v="7"/>
  </r>
  <r>
    <d v="2026-06-03T00:00:00"/>
    <x v="106"/>
    <s v="AM"/>
    <x v="7"/>
  </r>
  <r>
    <d v="2026-06-03T00:00:00"/>
    <x v="113"/>
    <s v="AM"/>
    <x v="7"/>
  </r>
  <r>
    <d v="2026-06-03T00:00:00"/>
    <x v="114"/>
    <s v="DAY"/>
    <x v="7"/>
  </r>
  <r>
    <d v="2026-06-03T00:00:00"/>
    <x v="115"/>
    <s v="AM"/>
    <x v="7"/>
  </r>
  <r>
    <d v="2026-06-03T00:00:00"/>
    <x v="116"/>
    <s v="AM"/>
    <x v="7"/>
  </r>
  <r>
    <d v="2026-06-03T00:00:00"/>
    <x v="117"/>
    <s v="AM"/>
    <x v="7"/>
  </r>
  <r>
    <d v="2026-06-03T00:00:00"/>
    <x v="118"/>
    <s v="AM"/>
    <x v="7"/>
  </r>
  <r>
    <d v="2026-06-03T00:00:00"/>
    <x v="119"/>
    <s v="AM"/>
    <x v="7"/>
  </r>
  <r>
    <d v="2026-06-03T00:00:00"/>
    <x v="122"/>
    <s v="AM"/>
    <x v="7"/>
  </r>
  <r>
    <d v="2026-06-03T00:00:00"/>
    <x v="109"/>
    <s v="AM"/>
    <x v="7"/>
  </r>
  <r>
    <d v="2026-06-03T00:00:00"/>
    <x v="123"/>
    <s v="AM"/>
    <x v="7"/>
  </r>
  <r>
    <d v="2026-06-03T00:00:00"/>
    <x v="125"/>
    <s v="DAY"/>
    <x v="7"/>
  </r>
  <r>
    <d v="2026-06-03T00:00:00"/>
    <x v="126"/>
    <s v="AM"/>
    <x v="7"/>
  </r>
  <r>
    <d v="2026-06-03T00:00:00"/>
    <x v="127"/>
    <s v="AM"/>
    <x v="7"/>
  </r>
  <r>
    <d v="2026-06-03T00:00:00"/>
    <x v="128"/>
    <s v="AM"/>
    <x v="7"/>
  </r>
  <r>
    <d v="2026-06-03T00:00:00"/>
    <x v="140"/>
    <s v="PM"/>
    <x v="4"/>
  </r>
  <r>
    <d v="2026-06-03T00:00:00"/>
    <x v="139"/>
    <s v="PM"/>
    <x v="5"/>
  </r>
  <r>
    <d v="2026-06-03T00:00:00"/>
    <x v="134"/>
    <s v="PM"/>
    <x v="6"/>
  </r>
  <r>
    <d v="2026-06-03T00:00:00"/>
    <x v="135"/>
    <s v="PM"/>
    <x v="6"/>
  </r>
  <r>
    <d v="2026-06-03T00:00:00"/>
    <x v="143"/>
    <s v="PM"/>
    <x v="6"/>
  </r>
  <r>
    <d v="2026-06-03T00:00:00"/>
    <x v="145"/>
    <s v="PM"/>
    <x v="6"/>
  </r>
  <r>
    <d v="2026-06-03T00:00:00"/>
    <x v="138"/>
    <s v="PM"/>
    <x v="6"/>
  </r>
  <r>
    <d v="2026-06-03T00:00:00"/>
    <x v="148"/>
    <s v="PM"/>
    <x v="6"/>
  </r>
  <r>
    <d v="2026-06-03T00:00:00"/>
    <x v="151"/>
    <s v="PM"/>
    <x v="6"/>
  </r>
  <r>
    <d v="2026-06-03T00:00:00"/>
    <x v="154"/>
    <s v="PM"/>
    <x v="6"/>
  </r>
  <r>
    <d v="2026-06-03T00:00:00"/>
    <x v="141"/>
    <s v="PM"/>
    <x v="6"/>
  </r>
  <r>
    <d v="2026-06-03T00:00:00"/>
    <x v="133"/>
    <s v="PM"/>
    <x v="7"/>
  </r>
  <r>
    <d v="2026-06-03T00:00:00"/>
    <x v="142"/>
    <s v="PM"/>
    <x v="7"/>
  </r>
  <r>
    <d v="2026-06-03T00:00:00"/>
    <x v="132"/>
    <s v="PM"/>
    <x v="7"/>
  </r>
  <r>
    <d v="2026-06-03T00:00:00"/>
    <x v="136"/>
    <s v="PM"/>
    <x v="7"/>
  </r>
  <r>
    <d v="2026-06-03T00:00:00"/>
    <x v="144"/>
    <s v="PM"/>
    <x v="7"/>
  </r>
  <r>
    <d v="2026-06-03T00:00:00"/>
    <x v="137"/>
    <s v="PM"/>
    <x v="7"/>
  </r>
  <r>
    <d v="2026-06-03T00:00:00"/>
    <x v="146"/>
    <s v="PM"/>
    <x v="7"/>
  </r>
  <r>
    <d v="2026-06-03T00:00:00"/>
    <x v="147"/>
    <s v="PM"/>
    <x v="7"/>
  </r>
  <r>
    <d v="2026-06-03T00:00:00"/>
    <x v="149"/>
    <s v="PM"/>
    <x v="7"/>
  </r>
  <r>
    <d v="2026-06-03T00:00:00"/>
    <x v="150"/>
    <s v="PM"/>
    <x v="7"/>
  </r>
  <r>
    <d v="2026-06-03T00:00:00"/>
    <x v="152"/>
    <s v="PM"/>
    <x v="7"/>
  </r>
  <r>
    <d v="2026-06-03T00:00:00"/>
    <x v="153"/>
    <s v="PM"/>
    <x v="7"/>
  </r>
  <r>
    <d v="2026-06-03T00:00:00"/>
    <x v="155"/>
    <s v="PM"/>
    <x v="7"/>
  </r>
  <r>
    <d v="2026-06-03T00:00:00"/>
    <x v="156"/>
    <s v="PM"/>
    <x v="7"/>
  </r>
  <r>
    <d v="2026-06-03T00:00:00"/>
    <x v="131"/>
    <s v="PM"/>
    <x v="7"/>
  </r>
  <r>
    <d v="2026-06-03T00:00:00"/>
    <x v="23"/>
    <s v="AM"/>
    <x v="0"/>
  </r>
  <r>
    <d v="2026-06-03T00:00:00"/>
    <x v="11"/>
    <s v="AM"/>
    <x v="0"/>
  </r>
  <r>
    <d v="2026-06-03T00:00:00"/>
    <x v="30"/>
    <s v="DAY"/>
    <x v="0"/>
  </r>
  <r>
    <d v="2026-06-03T00:00:00"/>
    <x v="31"/>
    <s v="AM"/>
    <x v="0"/>
  </r>
  <r>
    <d v="2026-06-03T00:00:00"/>
    <x v="33"/>
    <s v="AM"/>
    <x v="0"/>
  </r>
  <r>
    <d v="2026-06-03T00:00:00"/>
    <x v="35"/>
    <s v="AM"/>
    <x v="0"/>
  </r>
  <r>
    <d v="2026-06-03T00:00:00"/>
    <x v="36"/>
    <s v="AM"/>
    <x v="0"/>
  </r>
  <r>
    <d v="2026-06-03T00:00:00"/>
    <x v="37"/>
    <s v="DAY"/>
    <x v="0"/>
  </r>
  <r>
    <d v="2026-06-03T00:00:00"/>
    <x v="13"/>
    <s v="AM"/>
    <x v="0"/>
  </r>
  <r>
    <d v="2026-06-03T00:00:00"/>
    <x v="50"/>
    <s v="AM"/>
    <x v="0"/>
  </r>
  <r>
    <d v="2026-06-03T00:00:00"/>
    <x v="2"/>
    <s v="AM"/>
    <x v="1"/>
  </r>
  <r>
    <d v="2026-06-03T00:00:00"/>
    <x v="41"/>
    <s v="AM"/>
    <x v="1"/>
  </r>
  <r>
    <d v="2026-06-03T00:00:00"/>
    <x v="49"/>
    <s v="AM"/>
    <x v="1"/>
  </r>
  <r>
    <d v="2026-06-03T00:00:00"/>
    <x v="54"/>
    <s v="DAY"/>
    <x v="1"/>
  </r>
  <r>
    <d v="2026-06-03T00:00:00"/>
    <x v="10"/>
    <s v="AM"/>
    <x v="2"/>
  </r>
  <r>
    <d v="2026-06-03T00:00:00"/>
    <x v="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18"/>
    <s v="AM"/>
    <x v="2"/>
  </r>
  <r>
    <d v="2026-06-03T00:00:00"/>
    <x v="19"/>
    <s v="AM"/>
    <x v="2"/>
  </r>
  <r>
    <d v="2026-06-03T00:00:00"/>
    <x v="20"/>
    <s v="AM"/>
    <x v="2"/>
  </r>
  <r>
    <d v="2026-06-03T00:00:00"/>
    <x v="21"/>
    <s v="AM"/>
    <x v="2"/>
  </r>
  <r>
    <d v="2026-06-03T00:00:00"/>
    <x v="22"/>
    <s v="AM"/>
    <x v="2"/>
  </r>
  <r>
    <d v="2026-06-03T00:00:00"/>
    <x v="1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7"/>
    <s v="MI-TEMPS"/>
    <x v="2"/>
  </r>
  <r>
    <d v="2026-06-03T00:00:00"/>
    <x v="28"/>
    <s v="AM"/>
    <x v="2"/>
  </r>
  <r>
    <d v="2026-06-03T00:00:00"/>
    <x v="32"/>
    <s v="MI-TEMPS"/>
    <x v="2"/>
  </r>
  <r>
    <d v="2026-06-03T00:00:00"/>
    <x v="38"/>
    <s v="AM"/>
    <x v="2"/>
  </r>
  <r>
    <d v="2026-06-03T00:00:00"/>
    <x v="4"/>
    <s v="AM"/>
    <x v="2"/>
  </r>
  <r>
    <d v="2026-06-03T00:00:00"/>
    <x v="42"/>
    <s v="MI-TEMPS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7"/>
    <s v="AM"/>
    <x v="2"/>
  </r>
  <r>
    <d v="2026-06-03T00:00:00"/>
    <x v="48"/>
    <s v="MI-TEMPS"/>
    <x v="2"/>
  </r>
  <r>
    <d v="2026-06-03T00:00:00"/>
    <x v="6"/>
    <s v="AM"/>
    <x v="2"/>
  </r>
  <r>
    <d v="2026-06-03T00:00:00"/>
    <x v="7"/>
    <s v="AM"/>
    <x v="2"/>
  </r>
  <r>
    <d v="2026-06-03T00:00:00"/>
    <x v="8"/>
    <s v="AM"/>
    <x v="2"/>
  </r>
  <r>
    <d v="2026-06-03T00:00:00"/>
    <x v="51"/>
    <s v="DAY"/>
    <x v="2"/>
  </r>
  <r>
    <d v="2026-06-03T00:00:00"/>
    <x v="53"/>
    <s v="MI-TEMPS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73"/>
    <s v="PM"/>
    <x v="0"/>
  </r>
  <r>
    <d v="2026-06-03T00:00:00"/>
    <x v="78"/>
    <s v="PM"/>
    <x v="0"/>
  </r>
  <r>
    <d v="2026-06-03T00:00:00"/>
    <x v="61"/>
    <s v="PM"/>
    <x v="0"/>
  </r>
  <r>
    <d v="2026-06-03T00:00:00"/>
    <x v="80"/>
    <s v="PM"/>
    <x v="0"/>
  </r>
  <r>
    <d v="2026-06-03T00:00:00"/>
    <x v="65"/>
    <s v="PM"/>
    <x v="0"/>
  </r>
  <r>
    <d v="2026-06-03T00:00:00"/>
    <x v="86"/>
    <s v="PM"/>
    <x v="0"/>
  </r>
  <r>
    <d v="2026-06-03T00:00:00"/>
    <x v="66"/>
    <s v="PM"/>
    <x v="0"/>
  </r>
  <r>
    <d v="2026-06-03T00:00:00"/>
    <x v="90"/>
    <s v="PM"/>
    <x v="0"/>
  </r>
  <r>
    <d v="2026-06-03T00:00:00"/>
    <x v="71"/>
    <s v="PM"/>
    <x v="0"/>
  </r>
  <r>
    <d v="2026-06-03T00:00:00"/>
    <x v="68"/>
    <s v="PM"/>
    <x v="0"/>
  </r>
  <r>
    <d v="2026-06-03T00:00:00"/>
    <x v="76"/>
    <s v="PM"/>
    <x v="1"/>
  </r>
  <r>
    <d v="2026-06-03T00:00:00"/>
    <x v="79"/>
    <s v="PM"/>
    <x v="1"/>
  </r>
  <r>
    <d v="2026-06-03T00:00:00"/>
    <x v="69"/>
    <s v="PM"/>
    <x v="1"/>
  </r>
  <r>
    <d v="2026-06-03T00:00:00"/>
    <x v="70"/>
    <s v="PM"/>
    <x v="1"/>
  </r>
  <r>
    <d v="2026-06-03T00:00:00"/>
    <x v="74"/>
    <s v="PM"/>
    <x v="2"/>
  </r>
  <r>
    <d v="2026-06-03T00:00:00"/>
    <x v="59"/>
    <s v="PM"/>
    <x v="2"/>
  </r>
  <r>
    <d v="2026-06-03T00:00:00"/>
    <x v="75"/>
    <s v="PM"/>
    <x v="2"/>
  </r>
  <r>
    <d v="2026-06-03T00:00:00"/>
    <x v="60"/>
    <s v="PM"/>
    <x v="2"/>
  </r>
  <r>
    <d v="2026-06-03T00:00:00"/>
    <x v="77"/>
    <s v="PM"/>
    <x v="2"/>
  </r>
  <r>
    <d v="2026-06-03T00:00:00"/>
    <x v="81"/>
    <s v="PM"/>
    <x v="2"/>
  </r>
  <r>
    <d v="2026-06-03T00:00:00"/>
    <x v="62"/>
    <s v="PM"/>
    <x v="2"/>
  </r>
  <r>
    <d v="2026-06-03T00:00:00"/>
    <x v="82"/>
    <s v="PM"/>
    <x v="2"/>
  </r>
  <r>
    <d v="2026-06-03T00:00:00"/>
    <x v="83"/>
    <s v="PM"/>
    <x v="2"/>
  </r>
  <r>
    <d v="2026-06-03T00:00:00"/>
    <x v="63"/>
    <s v="PM"/>
    <x v="2"/>
  </r>
  <r>
    <d v="2026-06-03T00:00:00"/>
    <x v="64"/>
    <s v="PM"/>
    <x v="2"/>
  </r>
  <r>
    <d v="2026-06-03T00:00:00"/>
    <x v="84"/>
    <s v="PM"/>
    <x v="2"/>
  </r>
  <r>
    <d v="2026-06-03T00:00:00"/>
    <x v="85"/>
    <s v="PM"/>
    <x v="2"/>
  </r>
  <r>
    <d v="2026-06-03T00:00:00"/>
    <x v="87"/>
    <s v="PM"/>
    <x v="2"/>
  </r>
  <r>
    <d v="2026-06-03T00:00:00"/>
    <x v="88"/>
    <s v="PM"/>
    <x v="2"/>
  </r>
  <r>
    <d v="2026-06-03T00:00:00"/>
    <x v="89"/>
    <s v="PM"/>
    <x v="2"/>
  </r>
  <r>
    <d v="2026-06-03T00:00:00"/>
    <x v="91"/>
    <s v="PM"/>
    <x v="2"/>
  </r>
  <r>
    <d v="2026-06-03T00:00:00"/>
    <x v="67"/>
    <s v="PM"/>
    <x v="2"/>
  </r>
  <r>
    <d v="2026-06-03T00:00:00"/>
    <x v="92"/>
    <s v="PM"/>
    <x v="2"/>
  </r>
  <r>
    <d v="2026-06-03T00:00:00"/>
    <x v="93"/>
    <s v="PM"/>
    <x v="2"/>
  </r>
  <r>
    <d v="2026-06-03T00:00:00"/>
    <x v="72"/>
    <s v="PM"/>
    <x v="2"/>
  </r>
  <r>
    <d v="2026-06-03T00:00:00"/>
    <x v="94"/>
    <s v="PM"/>
    <x v="2"/>
  </r>
  <r>
    <d v="2026-06-03T00:00:00"/>
    <x v="95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15"/>
    <s v="AM"/>
    <x v="4"/>
  </r>
  <r>
    <d v="2026-06-03T00:00:00"/>
    <x v="121"/>
    <s v="AM"/>
    <x v="5"/>
  </r>
  <r>
    <d v="2026-06-03T00:00:00"/>
    <x v="104"/>
    <s v="AM"/>
    <x v="6"/>
  </r>
  <r>
    <d v="2026-06-03T00:00:00"/>
    <x v="113"/>
    <s v="AM"/>
    <x v="6"/>
  </r>
  <r>
    <d v="2026-06-03T00:00:00"/>
    <x v="117"/>
    <s v="AM"/>
    <x v="6"/>
  </r>
  <r>
    <d v="2026-06-03T00:00:00"/>
    <x v="118"/>
    <s v="AM"/>
    <x v="6"/>
  </r>
  <r>
    <d v="2026-06-03T00:00:00"/>
    <x v="119"/>
    <s v="AM"/>
    <x v="6"/>
  </r>
  <r>
    <d v="2026-06-03T00:00:00"/>
    <x v="109"/>
    <s v="AM"/>
    <x v="6"/>
  </r>
  <r>
    <d v="2026-06-03T00:00:00"/>
    <x v="110"/>
    <s v="AM"/>
    <x v="7"/>
  </r>
  <r>
    <d v="2026-06-03T00:00:00"/>
    <x v="105"/>
    <s v="AM"/>
    <x v="7"/>
  </r>
  <r>
    <d v="2026-06-03T00:00:00"/>
    <x v="111"/>
    <s v="AM"/>
    <x v="7"/>
  </r>
  <r>
    <d v="2026-06-03T00:00:00"/>
    <x v="103"/>
    <s v="AM"/>
    <x v="7"/>
  </r>
  <r>
    <d v="2026-06-03T00:00:00"/>
    <x v="112"/>
    <s v="DAY"/>
    <x v="7"/>
  </r>
  <r>
    <d v="2026-06-03T00:00:00"/>
    <x v="114"/>
    <s v="DAY"/>
    <x v="7"/>
  </r>
  <r>
    <d v="2026-06-03T00:00:00"/>
    <x v="116"/>
    <s v="AM"/>
    <x v="7"/>
  </r>
  <r>
    <d v="2026-06-03T00:00:00"/>
    <x v="120"/>
    <s v="AM"/>
    <x v="7"/>
  </r>
  <r>
    <d v="2026-06-03T00:00:00"/>
    <x v="122"/>
    <s v="AM"/>
    <x v="7"/>
  </r>
  <r>
    <d v="2026-06-03T00:00:00"/>
    <x v="108"/>
    <s v="AM"/>
    <x v="7"/>
  </r>
  <r>
    <d v="2026-06-03T00:00:00"/>
    <x v="102"/>
    <s v="AM"/>
    <x v="7"/>
  </r>
  <r>
    <d v="2026-06-03T00:00:00"/>
    <x v="125"/>
    <s v="DAY"/>
    <x v="7"/>
  </r>
  <r>
    <d v="2026-06-03T00:00:00"/>
    <x v="126"/>
    <s v="AM"/>
    <x v="7"/>
  </r>
  <r>
    <d v="2026-06-03T00:00:00"/>
    <x v="150"/>
    <s v="PM"/>
    <x v="4"/>
  </r>
  <r>
    <d v="2026-06-03T00:00:00"/>
    <x v="142"/>
    <s v="PM"/>
    <x v="5"/>
  </r>
  <r>
    <d v="2026-06-03T00:00:00"/>
    <x v="133"/>
    <s v="PM"/>
    <x v="6"/>
  </r>
  <r>
    <d v="2026-06-03T00:00:00"/>
    <x v="143"/>
    <s v="PM"/>
    <x v="6"/>
  </r>
  <r>
    <d v="2026-06-03T00:00:00"/>
    <x v="132"/>
    <s v="PM"/>
    <x v="6"/>
  </r>
  <r>
    <d v="2026-06-03T00:00:00"/>
    <x v="144"/>
    <s v="PM"/>
    <x v="6"/>
  </r>
  <r>
    <d v="2026-06-03T00:00:00"/>
    <x v="137"/>
    <s v="PM"/>
    <x v="6"/>
  </r>
  <r>
    <d v="2026-06-03T00:00:00"/>
    <x v="146"/>
    <s v="PM"/>
    <x v="6"/>
  </r>
  <r>
    <d v="2026-06-03T00:00:00"/>
    <x v="148"/>
    <s v="PM"/>
    <x v="6"/>
  </r>
  <r>
    <d v="2026-06-03T00:00:00"/>
    <x v="140"/>
    <s v="PM"/>
    <x v="6"/>
  </r>
  <r>
    <d v="2026-06-03T00:00:00"/>
    <x v="156"/>
    <s v="PM"/>
    <x v="6"/>
  </r>
  <r>
    <d v="2026-06-03T00:00:00"/>
    <x v="134"/>
    <s v="PM"/>
    <x v="7"/>
  </r>
  <r>
    <d v="2026-06-03T00:00:00"/>
    <x v="135"/>
    <s v="PM"/>
    <x v="7"/>
  </r>
  <r>
    <d v="2026-06-03T00:00:00"/>
    <x v="136"/>
    <s v="PM"/>
    <x v="7"/>
  </r>
  <r>
    <d v="2026-06-03T00:00:00"/>
    <x v="145"/>
    <s v="PM"/>
    <x v="7"/>
  </r>
  <r>
    <d v="2026-06-03T00:00:00"/>
    <x v="138"/>
    <s v="PM"/>
    <x v="7"/>
  </r>
  <r>
    <d v="2026-06-03T00:00:00"/>
    <x v="147"/>
    <s v="PM"/>
    <x v="7"/>
  </r>
  <r>
    <d v="2026-06-03T00:00:00"/>
    <x v="139"/>
    <s v="PM"/>
    <x v="7"/>
  </r>
  <r>
    <d v="2026-06-03T00:00:00"/>
    <x v="149"/>
    <s v="PM"/>
    <x v="7"/>
  </r>
  <r>
    <d v="2026-06-03T00:00:00"/>
    <x v="151"/>
    <s v="PM"/>
    <x v="7"/>
  </r>
  <r>
    <d v="2026-06-03T00:00:00"/>
    <x v="152"/>
    <s v="PM"/>
    <x v="7"/>
  </r>
  <r>
    <d v="2026-06-03T00:00:00"/>
    <x v="153"/>
    <s v="PM"/>
    <x v="7"/>
  </r>
  <r>
    <d v="2026-06-03T00:00:00"/>
    <x v="154"/>
    <s v="PM"/>
    <x v="7"/>
  </r>
  <r>
    <d v="2026-06-03T00:00:00"/>
    <x v="141"/>
    <s v="PM"/>
    <x v="7"/>
  </r>
  <r>
    <d v="2026-06-03T00:00:00"/>
    <x v="155"/>
    <s v="PM"/>
    <x v="7"/>
  </r>
  <r>
    <d v="2026-06-03T00:00:00"/>
    <x v="131"/>
    <s v="PM"/>
    <x v="7"/>
  </r>
  <r>
    <d v="2026-06-03T00:00:00"/>
    <x v="10"/>
    <s v="AM"/>
    <x v="0"/>
  </r>
  <r>
    <d v="2026-06-03T00:00:00"/>
    <x v="19"/>
    <s v="AM"/>
    <x v="0"/>
  </r>
  <r>
    <d v="2026-06-03T00:00:00"/>
    <x v="20"/>
    <s v="AM"/>
    <x v="0"/>
  </r>
  <r>
    <d v="2026-06-03T00:00:00"/>
    <x v="27"/>
    <s v="MI-TEMPS"/>
    <x v="0"/>
  </r>
  <r>
    <d v="2026-06-03T00:00:00"/>
    <x v="28"/>
    <s v="AM"/>
    <x v="0"/>
  </r>
  <r>
    <d v="2026-06-03T00:00:00"/>
    <x v="13"/>
    <s v="AM"/>
    <x v="0"/>
  </r>
  <r>
    <d v="2026-06-03T00:00:00"/>
    <x v="49"/>
    <s v="AM"/>
    <x v="0"/>
  </r>
  <r>
    <d v="2026-06-03T00:00:00"/>
    <x v="50"/>
    <s v="AM"/>
    <x v="0"/>
  </r>
  <r>
    <d v="2026-06-03T00:00:00"/>
    <x v="7"/>
    <s v="AM"/>
    <x v="0"/>
  </r>
  <r>
    <d v="2026-06-03T00:00:00"/>
    <x v="51"/>
    <s v="DAY"/>
    <x v="0"/>
  </r>
  <r>
    <d v="2026-06-03T00:00:00"/>
    <x v="18"/>
    <s v="AM"/>
    <x v="1"/>
  </r>
  <r>
    <d v="2026-06-03T00:00:00"/>
    <x v="32"/>
    <s v="MI-TEMPS"/>
    <x v="1"/>
  </r>
  <r>
    <d v="2026-06-03T00:00:00"/>
    <x v="4"/>
    <s v="AM"/>
    <x v="1"/>
  </r>
  <r>
    <d v="2026-06-03T00:00:00"/>
    <x v="6"/>
    <s v="AM"/>
    <x v="1"/>
  </r>
  <r>
    <d v="2026-06-03T00:00:00"/>
    <x v="0"/>
    <s v="AM"/>
    <x v="2"/>
  </r>
  <r>
    <d v="2026-06-03T00:00:00"/>
    <x v="15"/>
    <s v="AM"/>
    <x v="2"/>
  </r>
  <r>
    <d v="2026-06-03T00:00:00"/>
    <x v="16"/>
    <s v="DAY"/>
    <x v="2"/>
  </r>
  <r>
    <d v="2026-06-03T00:00:00"/>
    <x v="17"/>
    <s v="AM"/>
    <x v="2"/>
  </r>
  <r>
    <d v="2026-06-03T00:00:00"/>
    <x v="21"/>
    <s v="AM"/>
    <x v="2"/>
  </r>
  <r>
    <d v="2026-06-03T00:00:00"/>
    <x v="22"/>
    <s v="AM"/>
    <x v="2"/>
  </r>
  <r>
    <d v="2026-06-03T00:00:00"/>
    <x v="1"/>
    <s v="AM"/>
    <x v="2"/>
  </r>
  <r>
    <d v="2026-06-03T00:00:00"/>
    <x v="23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11"/>
    <s v="AM"/>
    <x v="2"/>
  </r>
  <r>
    <d v="2026-06-03T00:00:00"/>
    <x v="30"/>
    <s v="DAY"/>
    <x v="2"/>
  </r>
  <r>
    <d v="2026-06-03T00:00:00"/>
    <x v="2"/>
    <s v="AM"/>
    <x v="2"/>
  </r>
  <r>
    <d v="2026-06-03T00:00:00"/>
    <x v="31"/>
    <s v="AM"/>
    <x v="2"/>
  </r>
  <r>
    <d v="2026-06-03T00:00:00"/>
    <x v="33"/>
    <s v="AM"/>
    <x v="2"/>
  </r>
  <r>
    <d v="2026-06-03T00:00:00"/>
    <x v="35"/>
    <s v="AM"/>
    <x v="2"/>
  </r>
  <r>
    <d v="2026-06-03T00:00:00"/>
    <x v="36"/>
    <s v="AM"/>
    <x v="2"/>
  </r>
  <r>
    <d v="2026-06-03T00:00:00"/>
    <x v="37"/>
    <s v="DAY"/>
    <x v="2"/>
  </r>
  <r>
    <d v="2026-06-03T00:00:00"/>
    <x v="38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4"/>
    <s v="MI-TEMPS"/>
    <x v="2"/>
  </r>
  <r>
    <d v="2026-06-03T00:00:00"/>
    <x v="45"/>
    <s v="DAY"/>
    <x v="2"/>
  </r>
  <r>
    <d v="2026-06-03T00:00:00"/>
    <x v="46"/>
    <s v="MI-TEMPS"/>
    <x v="2"/>
  </r>
  <r>
    <d v="2026-06-03T00:00:00"/>
    <x v="47"/>
    <s v="AM"/>
    <x v="2"/>
  </r>
  <r>
    <d v="2026-06-03T00:00:00"/>
    <x v="48"/>
    <s v="MI-TEMPS"/>
    <x v="2"/>
  </r>
  <r>
    <d v="2026-06-03T00:00:00"/>
    <x v="8"/>
    <s v="AM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59"/>
    <s v="PM"/>
    <x v="0"/>
  </r>
  <r>
    <d v="2026-06-03T00:00:00"/>
    <x v="75"/>
    <s v="PM"/>
    <x v="0"/>
  </r>
  <r>
    <d v="2026-06-03T00:00:00"/>
    <x v="81"/>
    <s v="PM"/>
    <x v="0"/>
  </r>
  <r>
    <d v="2026-06-03T00:00:00"/>
    <x v="65"/>
    <s v="PM"/>
    <x v="0"/>
  </r>
  <r>
    <d v="2026-06-03T00:00:00"/>
    <x v="86"/>
    <s v="PM"/>
    <x v="0"/>
  </r>
  <r>
    <d v="2026-06-03T00:00:00"/>
    <x v="88"/>
    <s v="PM"/>
    <x v="0"/>
  </r>
  <r>
    <d v="2026-06-03T00:00:00"/>
    <x v="69"/>
    <s v="PM"/>
    <x v="0"/>
  </r>
  <r>
    <d v="2026-06-03T00:00:00"/>
    <x v="91"/>
    <s v="PM"/>
    <x v="0"/>
  </r>
  <r>
    <d v="2026-06-03T00:00:00"/>
    <x v="93"/>
    <s v="PM"/>
    <x v="0"/>
  </r>
  <r>
    <d v="2026-06-03T00:00:00"/>
    <x v="72"/>
    <s v="PM"/>
    <x v="0"/>
  </r>
  <r>
    <d v="2026-06-03T00:00:00"/>
    <x v="78"/>
    <s v="PM"/>
    <x v="1"/>
  </r>
  <r>
    <d v="2026-06-03T00:00:00"/>
    <x v="82"/>
    <s v="PM"/>
    <x v="1"/>
  </r>
  <r>
    <d v="2026-06-03T00:00:00"/>
    <x v="87"/>
    <s v="PM"/>
    <x v="1"/>
  </r>
  <r>
    <d v="2026-06-03T00:00:00"/>
    <x v="90"/>
    <s v="PM"/>
    <x v="1"/>
  </r>
  <r>
    <d v="2026-06-03T00:00:00"/>
    <x v="73"/>
    <s v="PM"/>
    <x v="2"/>
  </r>
  <r>
    <d v="2026-06-03T00:00:00"/>
    <x v="74"/>
    <s v="PM"/>
    <x v="2"/>
  </r>
  <r>
    <d v="2026-06-03T00:00:00"/>
    <x v="60"/>
    <s v="PM"/>
    <x v="2"/>
  </r>
  <r>
    <d v="2026-06-03T00:00:00"/>
    <x v="76"/>
    <s v="PM"/>
    <x v="2"/>
  </r>
  <r>
    <d v="2026-06-03T00:00:00"/>
    <x v="77"/>
    <s v="PM"/>
    <x v="2"/>
  </r>
  <r>
    <d v="2026-06-03T00:00:00"/>
    <x v="79"/>
    <s v="PM"/>
    <x v="2"/>
  </r>
  <r>
    <d v="2026-06-03T00:00:00"/>
    <x v="61"/>
    <s v="PM"/>
    <x v="2"/>
  </r>
  <r>
    <d v="2026-06-03T00:00:00"/>
    <x v="80"/>
    <s v="PM"/>
    <x v="2"/>
  </r>
  <r>
    <d v="2026-06-03T00:00:00"/>
    <x v="62"/>
    <s v="PM"/>
    <x v="2"/>
  </r>
  <r>
    <d v="2026-06-03T00:00:00"/>
    <x v="83"/>
    <s v="PM"/>
    <x v="2"/>
  </r>
  <r>
    <d v="2026-06-03T00:00:00"/>
    <x v="63"/>
    <s v="PM"/>
    <x v="2"/>
  </r>
  <r>
    <d v="2026-06-03T00:00:00"/>
    <x v="64"/>
    <s v="PM"/>
    <x v="2"/>
  </r>
  <r>
    <d v="2026-06-03T00:00:00"/>
    <x v="84"/>
    <s v="PM"/>
    <x v="2"/>
  </r>
  <r>
    <d v="2026-06-03T00:00:00"/>
    <x v="85"/>
    <s v="PM"/>
    <x v="2"/>
  </r>
  <r>
    <d v="2026-06-03T00:00:00"/>
    <x v="66"/>
    <s v="PM"/>
    <x v="2"/>
  </r>
  <r>
    <d v="2026-06-03T00:00:00"/>
    <x v="89"/>
    <s v="PM"/>
    <x v="2"/>
  </r>
  <r>
    <d v="2026-06-03T00:00:00"/>
    <x v="67"/>
    <s v="PM"/>
    <x v="2"/>
  </r>
  <r>
    <d v="2026-06-03T00:00:00"/>
    <x v="70"/>
    <s v="PM"/>
    <x v="2"/>
  </r>
  <r>
    <d v="2026-06-03T00:00:00"/>
    <x v="71"/>
    <s v="PM"/>
    <x v="2"/>
  </r>
  <r>
    <d v="2026-06-03T00:00:00"/>
    <x v="68"/>
    <s v="PM"/>
    <x v="2"/>
  </r>
  <r>
    <d v="2026-06-03T00:00:00"/>
    <x v="92"/>
    <s v="PM"/>
    <x v="2"/>
  </r>
  <r>
    <d v="2026-06-03T00:00:00"/>
    <x v="94"/>
    <s v="PM"/>
    <x v="2"/>
  </r>
  <r>
    <d v="2026-06-03T00:00:00"/>
    <x v="95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21"/>
    <s v="AM"/>
    <x v="4"/>
  </r>
  <r>
    <d v="2026-06-03T00:00:00"/>
    <x v="122"/>
    <s v="AM"/>
    <x v="5"/>
  </r>
  <r>
    <d v="2026-06-03T00:00:00"/>
    <x v="110"/>
    <s v="AM"/>
    <x v="6"/>
  </r>
  <r>
    <d v="2026-06-03T00:00:00"/>
    <x v="111"/>
    <s v="AM"/>
    <x v="6"/>
  </r>
  <r>
    <d v="2026-06-03T00:00:00"/>
    <x v="103"/>
    <s v="AM"/>
    <x v="6"/>
  </r>
  <r>
    <d v="2026-06-03T00:00:00"/>
    <x v="116"/>
    <s v="AM"/>
    <x v="6"/>
  </r>
  <r>
    <d v="2026-06-03T00:00:00"/>
    <x v="120"/>
    <s v="AM"/>
    <x v="6"/>
  </r>
  <r>
    <d v="2026-06-03T00:00:00"/>
    <x v="126"/>
    <s v="AM"/>
    <x v="6"/>
  </r>
  <r>
    <d v="2026-06-03T00:00:00"/>
    <x v="104"/>
    <s v="AM"/>
    <x v="7"/>
  </r>
  <r>
    <d v="2026-06-03T00:00:00"/>
    <x v="105"/>
    <s v="AM"/>
    <x v="7"/>
  </r>
  <r>
    <d v="2026-06-03T00:00:00"/>
    <x v="112"/>
    <s v="DAY"/>
    <x v="7"/>
  </r>
  <r>
    <d v="2026-06-03T00:00:00"/>
    <x v="113"/>
    <s v="AM"/>
    <x v="7"/>
  </r>
  <r>
    <d v="2026-06-03T00:00:00"/>
    <x v="114"/>
    <s v="DAY"/>
    <x v="7"/>
  </r>
  <r>
    <d v="2026-06-03T00:00:00"/>
    <x v="115"/>
    <s v="AM"/>
    <x v="7"/>
  </r>
  <r>
    <d v="2026-06-03T00:00:00"/>
    <x v="117"/>
    <s v="AM"/>
    <x v="7"/>
  </r>
  <r>
    <d v="2026-06-03T00:00:00"/>
    <x v="118"/>
    <s v="AM"/>
    <x v="7"/>
  </r>
  <r>
    <d v="2026-06-03T00:00:00"/>
    <x v="119"/>
    <s v="AM"/>
    <x v="7"/>
  </r>
  <r>
    <d v="2026-06-03T00:00:00"/>
    <x v="108"/>
    <s v="AM"/>
    <x v="7"/>
  </r>
  <r>
    <d v="2026-06-03T00:00:00"/>
    <x v="102"/>
    <s v="AM"/>
    <x v="7"/>
  </r>
  <r>
    <d v="2026-06-03T00:00:00"/>
    <x v="109"/>
    <s v="AM"/>
    <x v="7"/>
  </r>
  <r>
    <d v="2026-06-03T00:00:00"/>
    <x v="125"/>
    <s v="DAY"/>
    <x v="7"/>
  </r>
  <r>
    <d v="2026-06-03T00:00:00"/>
    <x v="144"/>
    <s v="PM"/>
    <x v="4"/>
  </r>
  <r>
    <d v="2026-06-03T00:00:00"/>
    <x v="155"/>
    <s v="PM"/>
    <x v="5"/>
  </r>
  <r>
    <d v="2026-06-03T00:00:00"/>
    <x v="142"/>
    <s v="PM"/>
    <x v="6"/>
  </r>
  <r>
    <d v="2026-06-03T00:00:00"/>
    <x v="136"/>
    <s v="PM"/>
    <x v="6"/>
  </r>
  <r>
    <d v="2026-06-03T00:00:00"/>
    <x v="145"/>
    <s v="PM"/>
    <x v="6"/>
  </r>
  <r>
    <d v="2026-06-03T00:00:00"/>
    <x v="139"/>
    <s v="PM"/>
    <x v="6"/>
  </r>
  <r>
    <d v="2026-06-03T00:00:00"/>
    <x v="149"/>
    <s v="PM"/>
    <x v="6"/>
  </r>
  <r>
    <d v="2026-06-03T00:00:00"/>
    <x v="152"/>
    <s v="PM"/>
    <x v="6"/>
  </r>
  <r>
    <d v="2026-06-03T00:00:00"/>
    <x v="153"/>
    <s v="PM"/>
    <x v="6"/>
  </r>
  <r>
    <d v="2026-06-03T00:00:00"/>
    <x v="141"/>
    <s v="PM"/>
    <x v="6"/>
  </r>
  <r>
    <d v="2026-06-03T00:00:00"/>
    <x v="131"/>
    <s v="PM"/>
    <x v="6"/>
  </r>
  <r>
    <d v="2026-06-03T00:00:00"/>
    <x v="133"/>
    <s v="PM"/>
    <x v="7"/>
  </r>
  <r>
    <d v="2026-06-03T00:00:00"/>
    <x v="134"/>
    <s v="PM"/>
    <x v="7"/>
  </r>
  <r>
    <d v="2026-06-03T00:00:00"/>
    <x v="135"/>
    <s v="PM"/>
    <x v="7"/>
  </r>
  <r>
    <d v="2026-06-03T00:00:00"/>
    <x v="143"/>
    <s v="PM"/>
    <x v="7"/>
  </r>
  <r>
    <d v="2026-06-03T00:00:00"/>
    <x v="132"/>
    <s v="PM"/>
    <x v="7"/>
  </r>
  <r>
    <d v="2026-06-03T00:00:00"/>
    <x v="137"/>
    <s v="PM"/>
    <x v="7"/>
  </r>
  <r>
    <d v="2026-06-03T00:00:00"/>
    <x v="146"/>
    <s v="PM"/>
    <x v="7"/>
  </r>
  <r>
    <d v="2026-06-03T00:00:00"/>
    <x v="138"/>
    <s v="PM"/>
    <x v="7"/>
  </r>
  <r>
    <d v="2026-06-03T00:00:00"/>
    <x v="147"/>
    <s v="PM"/>
    <x v="7"/>
  </r>
  <r>
    <d v="2026-06-03T00:00:00"/>
    <x v="148"/>
    <s v="PM"/>
    <x v="7"/>
  </r>
  <r>
    <d v="2026-06-03T00:00:00"/>
    <x v="150"/>
    <s v="PM"/>
    <x v="7"/>
  </r>
  <r>
    <d v="2026-06-03T00:00:00"/>
    <x v="151"/>
    <s v="PM"/>
    <x v="7"/>
  </r>
  <r>
    <d v="2026-06-03T00:00:00"/>
    <x v="140"/>
    <s v="PM"/>
    <x v="7"/>
  </r>
  <r>
    <d v="2026-06-03T00:00:00"/>
    <x v="154"/>
    <s v="PM"/>
    <x v="7"/>
  </r>
  <r>
    <d v="2026-06-03T00:00:00"/>
    <x v="156"/>
    <s v="PM"/>
    <x v="7"/>
  </r>
  <r>
    <d v="2026-06-03T00:00:00"/>
    <x v="0"/>
    <s v="AM"/>
    <x v="0"/>
  </r>
  <r>
    <d v="2026-06-03T00:00:00"/>
    <x v="17"/>
    <s v="AM"/>
    <x v="0"/>
  </r>
  <r>
    <d v="2026-06-03T00:00:00"/>
    <x v="22"/>
    <s v="AM"/>
    <x v="0"/>
  </r>
  <r>
    <d v="2026-06-03T00:00:00"/>
    <x v="23"/>
    <s v="AM"/>
    <x v="0"/>
  </r>
  <r>
    <d v="2026-06-03T00:00:00"/>
    <x v="11"/>
    <s v="AM"/>
    <x v="0"/>
  </r>
  <r>
    <d v="2026-06-03T00:00:00"/>
    <x v="2"/>
    <s v="AM"/>
    <x v="0"/>
  </r>
  <r>
    <d v="2026-06-03T00:00:00"/>
    <x v="31"/>
    <s v="AM"/>
    <x v="0"/>
  </r>
  <r>
    <d v="2026-06-03T00:00:00"/>
    <x v="45"/>
    <s v="DAY"/>
    <x v="0"/>
  </r>
  <r>
    <d v="2026-06-03T00:00:00"/>
    <x v="47"/>
    <s v="AM"/>
    <x v="0"/>
  </r>
  <r>
    <d v="2026-06-03T00:00:00"/>
    <x v="48"/>
    <s v="MI-TEMPS"/>
    <x v="0"/>
  </r>
  <r>
    <d v="2026-06-03T00:00:00"/>
    <x v="16"/>
    <s v="DAY"/>
    <x v="1"/>
  </r>
  <r>
    <d v="2026-06-03T00:00:00"/>
    <x v="19"/>
    <s v="AM"/>
    <x v="1"/>
  </r>
  <r>
    <d v="2026-06-03T00:00:00"/>
    <x v="1"/>
    <s v="AM"/>
    <x v="1"/>
  </r>
  <r>
    <d v="2026-06-03T00:00:00"/>
    <x v="50"/>
    <s v="AM"/>
    <x v="1"/>
  </r>
  <r>
    <d v="2026-06-03T00:00:00"/>
    <x v="10"/>
    <s v="AM"/>
    <x v="2"/>
  </r>
  <r>
    <d v="2026-06-03T00:00:00"/>
    <x v="15"/>
    <s v="AM"/>
    <x v="2"/>
  </r>
  <r>
    <d v="2026-06-03T00:00:00"/>
    <x v="18"/>
    <s v="AM"/>
    <x v="2"/>
  </r>
  <r>
    <d v="2026-06-03T00:00:00"/>
    <x v="20"/>
    <s v="AM"/>
    <x v="2"/>
  </r>
  <r>
    <d v="2026-06-03T00:00:00"/>
    <x v="21"/>
    <s v="AM"/>
    <x v="2"/>
  </r>
  <r>
    <d v="2026-06-03T00:00:00"/>
    <x v="24"/>
    <s v="MI-TEMPS"/>
    <x v="2"/>
  </r>
  <r>
    <d v="2026-06-03T00:00:00"/>
    <x v="25"/>
    <s v="MI-TEMPS"/>
    <x v="2"/>
  </r>
  <r>
    <d v="2026-06-03T00:00:00"/>
    <x v="27"/>
    <s v="MI-TEMPS"/>
    <x v="2"/>
  </r>
  <r>
    <d v="2026-06-03T00:00:00"/>
    <x v="28"/>
    <s v="AM"/>
    <x v="2"/>
  </r>
  <r>
    <d v="2026-06-03T00:00:00"/>
    <x v="30"/>
    <s v="DAY"/>
    <x v="2"/>
  </r>
  <r>
    <d v="2026-06-03T00:00:00"/>
    <x v="32"/>
    <s v="MI-TEMPS"/>
    <x v="2"/>
  </r>
  <r>
    <d v="2026-06-03T00:00:00"/>
    <x v="33"/>
    <s v="AM"/>
    <x v="2"/>
  </r>
  <r>
    <d v="2026-06-03T00:00:00"/>
    <x v="35"/>
    <s v="AM"/>
    <x v="2"/>
  </r>
  <r>
    <d v="2026-06-03T00:00:00"/>
    <x v="36"/>
    <s v="AM"/>
    <x v="2"/>
  </r>
  <r>
    <d v="2026-06-03T00:00:00"/>
    <x v="37"/>
    <s v="DAY"/>
    <x v="2"/>
  </r>
  <r>
    <d v="2026-06-03T00:00:00"/>
    <x v="38"/>
    <s v="AM"/>
    <x v="2"/>
  </r>
  <r>
    <d v="2026-06-03T00:00:00"/>
    <x v="13"/>
    <s v="AM"/>
    <x v="2"/>
  </r>
  <r>
    <d v="2026-06-03T00:00:00"/>
    <x v="4"/>
    <s v="AM"/>
    <x v="2"/>
  </r>
  <r>
    <d v="2026-06-03T00:00:00"/>
    <x v="41"/>
    <s v="AM"/>
    <x v="2"/>
  </r>
  <r>
    <d v="2026-06-03T00:00:00"/>
    <x v="42"/>
    <s v="MI-TEMPS"/>
    <x v="2"/>
  </r>
  <r>
    <d v="2026-06-03T00:00:00"/>
    <x v="44"/>
    <s v="MI-TEMPS"/>
    <x v="2"/>
  </r>
  <r>
    <d v="2026-06-03T00:00:00"/>
    <x v="46"/>
    <s v="MI-TEMPS"/>
    <x v="2"/>
  </r>
  <r>
    <d v="2026-06-03T00:00:00"/>
    <x v="49"/>
    <s v="AM"/>
    <x v="2"/>
  </r>
  <r>
    <d v="2026-06-03T00:00:00"/>
    <x v="6"/>
    <s v="AM"/>
    <x v="2"/>
  </r>
  <r>
    <d v="2026-06-03T00:00:00"/>
    <x v="7"/>
    <s v="AM"/>
    <x v="2"/>
  </r>
  <r>
    <d v="2026-06-03T00:00:00"/>
    <x v="8"/>
    <s v="AM"/>
    <x v="2"/>
  </r>
  <r>
    <d v="2026-06-03T00:00:00"/>
    <x v="51"/>
    <s v="DAY"/>
    <x v="2"/>
  </r>
  <r>
    <d v="2026-06-03T00:00:00"/>
    <x v="53"/>
    <s v="MI-TEMPS"/>
    <x v="2"/>
  </r>
  <r>
    <d v="2026-06-03T00:00:00"/>
    <x v="54"/>
    <s v="DAY"/>
    <x v="2"/>
  </r>
  <r>
    <d v="2026-06-03T00:00:00"/>
    <x v="55"/>
    <s v="AM"/>
    <x v="3"/>
  </r>
  <r>
    <d v="2026-06-03T00:00:00"/>
    <x v="56"/>
    <s v="AM"/>
    <x v="3"/>
  </r>
  <r>
    <d v="2026-06-03T00:00:00"/>
    <x v="57"/>
    <s v="AM"/>
    <x v="3"/>
  </r>
  <r>
    <d v="2026-06-03T00:00:00"/>
    <x v="74"/>
    <s v="PM"/>
    <x v="0"/>
  </r>
  <r>
    <d v="2026-06-03T00:00:00"/>
    <x v="78"/>
    <s v="PM"/>
    <x v="0"/>
  </r>
  <r>
    <d v="2026-06-03T00:00:00"/>
    <x v="79"/>
    <s v="PM"/>
    <x v="0"/>
  </r>
  <r>
    <d v="2026-06-03T00:00:00"/>
    <x v="62"/>
    <s v="PM"/>
    <x v="0"/>
  </r>
  <r>
    <d v="2026-06-03T00:00:00"/>
    <x v="83"/>
    <s v="PM"/>
    <x v="0"/>
  </r>
  <r>
    <d v="2026-06-03T00:00:00"/>
    <x v="63"/>
    <s v="PM"/>
    <x v="0"/>
  </r>
  <r>
    <d v="2026-06-03T00:00:00"/>
    <x v="64"/>
    <s v="PM"/>
    <x v="0"/>
  </r>
  <r>
    <d v="2026-06-03T00:00:00"/>
    <x v="67"/>
    <s v="PM"/>
    <x v="0"/>
  </r>
  <r>
    <d v="2026-06-03T00:00:00"/>
    <x v="92"/>
    <s v="PM"/>
    <x v="0"/>
  </r>
  <r>
    <d v="2026-06-03T00:00:00"/>
    <x v="95"/>
    <s v="PM"/>
    <x v="0"/>
  </r>
  <r>
    <d v="2026-06-03T00:00:00"/>
    <x v="59"/>
    <s v="PM"/>
    <x v="1"/>
  </r>
  <r>
    <d v="2026-06-03T00:00:00"/>
    <x v="85"/>
    <s v="PM"/>
    <x v="1"/>
  </r>
  <r>
    <d v="2026-06-03T00:00:00"/>
    <x v="88"/>
    <s v="PM"/>
    <x v="1"/>
  </r>
  <r>
    <d v="2026-06-03T00:00:00"/>
    <x v="93"/>
    <s v="PM"/>
    <x v="1"/>
  </r>
  <r>
    <d v="2026-06-03T00:00:00"/>
    <x v="73"/>
    <s v="PM"/>
    <x v="2"/>
  </r>
  <r>
    <d v="2026-06-03T00:00:00"/>
    <x v="75"/>
    <s v="PM"/>
    <x v="2"/>
  </r>
  <r>
    <d v="2026-06-03T00:00:00"/>
    <x v="60"/>
    <s v="PM"/>
    <x v="2"/>
  </r>
  <r>
    <d v="2026-06-03T00:00:00"/>
    <x v="76"/>
    <s v="PM"/>
    <x v="2"/>
  </r>
  <r>
    <d v="2026-06-03T00:00:00"/>
    <x v="77"/>
    <s v="PM"/>
    <x v="2"/>
  </r>
  <r>
    <d v="2026-06-03T00:00:00"/>
    <x v="61"/>
    <s v="PM"/>
    <x v="2"/>
  </r>
  <r>
    <d v="2026-06-03T00:00:00"/>
    <x v="80"/>
    <s v="PM"/>
    <x v="2"/>
  </r>
  <r>
    <d v="2026-06-03T00:00:00"/>
    <x v="81"/>
    <s v="PM"/>
    <x v="2"/>
  </r>
  <r>
    <d v="2026-06-03T00:00:00"/>
    <x v="82"/>
    <s v="PM"/>
    <x v="2"/>
  </r>
  <r>
    <d v="2026-06-03T00:00:00"/>
    <x v="65"/>
    <s v="PM"/>
    <x v="2"/>
  </r>
  <r>
    <d v="2026-06-03T00:00:00"/>
    <x v="84"/>
    <s v="PM"/>
    <x v="2"/>
  </r>
  <r>
    <d v="2026-06-03T00:00:00"/>
    <x v="86"/>
    <s v="PM"/>
    <x v="2"/>
  </r>
  <r>
    <d v="2026-06-03T00:00:00"/>
    <x v="66"/>
    <s v="PM"/>
    <x v="2"/>
  </r>
  <r>
    <d v="2026-06-03T00:00:00"/>
    <x v="87"/>
    <s v="PM"/>
    <x v="2"/>
  </r>
  <r>
    <d v="2026-06-03T00:00:00"/>
    <x v="89"/>
    <s v="PM"/>
    <x v="2"/>
  </r>
  <r>
    <d v="2026-06-03T00:00:00"/>
    <x v="90"/>
    <s v="PM"/>
    <x v="2"/>
  </r>
  <r>
    <d v="2026-06-03T00:00:00"/>
    <x v="69"/>
    <s v="PM"/>
    <x v="2"/>
  </r>
  <r>
    <d v="2026-06-03T00:00:00"/>
    <x v="91"/>
    <s v="PM"/>
    <x v="2"/>
  </r>
  <r>
    <d v="2026-06-03T00:00:00"/>
    <x v="70"/>
    <s v="PM"/>
    <x v="2"/>
  </r>
  <r>
    <d v="2026-06-03T00:00:00"/>
    <x v="71"/>
    <s v="PM"/>
    <x v="2"/>
  </r>
  <r>
    <d v="2026-06-03T00:00:00"/>
    <x v="68"/>
    <s v="PM"/>
    <x v="2"/>
  </r>
  <r>
    <d v="2026-06-03T00:00:00"/>
    <x v="72"/>
    <s v="PM"/>
    <x v="2"/>
  </r>
  <r>
    <d v="2026-06-03T00:00:00"/>
    <x v="94"/>
    <s v="PM"/>
    <x v="2"/>
  </r>
  <r>
    <d v="2026-06-03T00:00:00"/>
    <x v="96"/>
    <s v="PM"/>
    <x v="2"/>
  </r>
  <r>
    <d v="2026-06-03T00:00:00"/>
    <x v="97"/>
    <s v="PM"/>
    <x v="3"/>
  </r>
  <r>
    <d v="2026-06-03T00:00:00"/>
    <x v="98"/>
    <s v="PM"/>
    <x v="3"/>
  </r>
  <r>
    <d v="2026-06-03T00:00:00"/>
    <x v="99"/>
    <s v="PM"/>
    <x v="3"/>
  </r>
  <r>
    <d v="2026-06-03T00:00:00"/>
    <x v="100"/>
    <s v="PM"/>
    <x v="3"/>
  </r>
  <r>
    <d v="2026-06-03T00:00:00"/>
    <x v="101"/>
    <s v="PM"/>
    <x v="3"/>
  </r>
  <r>
    <d v="2026-06-03T00:00:00"/>
    <x v="120"/>
    <s v="AM"/>
    <x v="4"/>
  </r>
  <r>
    <d v="2026-06-03T00:00:00"/>
    <x v="115"/>
    <s v="AM"/>
    <x v="5"/>
  </r>
  <r>
    <d v="2026-06-03T00:00:00"/>
    <x v="105"/>
    <s v="AM"/>
    <x v="6"/>
  </r>
  <r>
    <d v="2026-06-03T00:00:00"/>
    <x v="112"/>
    <s v="DAY"/>
    <x v="6"/>
  </r>
  <r>
    <d v="2026-06-03T00:00:00"/>
    <x v="122"/>
    <s v="AM"/>
    <x v="6"/>
  </r>
  <r>
    <d v="2026-06-03T00:00:00"/>
    <x v="109"/>
    <s v="AM"/>
    <x v="6"/>
  </r>
  <r>
    <d v="2026-06-03T00:00:00"/>
    <x v="125"/>
    <s v="DAY"/>
    <x v="6"/>
  </r>
  <r>
    <d v="2026-06-03T00:00:00"/>
    <x v="126"/>
    <s v="AM"/>
    <x v="6"/>
  </r>
  <r>
    <d v="2026-06-03T00:00:00"/>
    <x v="104"/>
    <s v="AM"/>
    <x v="7"/>
  </r>
  <r>
    <d v="2026-06-03T00:00:00"/>
    <x v="110"/>
    <s v="AM"/>
    <x v="7"/>
  </r>
  <r>
    <d v="2026-06-03T00:00:00"/>
    <x v="111"/>
    <s v="AM"/>
    <x v="7"/>
  </r>
  <r>
    <d v="2026-06-03T00:00:00"/>
    <x v="103"/>
    <s v="AM"/>
    <x v="7"/>
  </r>
  <r>
    <d v="2026-06-03T00:00:00"/>
    <x v="113"/>
    <s v="AM"/>
    <x v="7"/>
  </r>
  <r>
    <d v="2026-06-03T00:00:00"/>
    <x v="114"/>
    <s v="DAY"/>
    <x v="7"/>
  </r>
  <r>
    <d v="2026-06-03T00:00:00"/>
    <x v="116"/>
    <s v="AM"/>
    <x v="7"/>
  </r>
  <r>
    <d v="2026-06-03T00:00:00"/>
    <x v="117"/>
    <s v="AM"/>
    <x v="7"/>
  </r>
  <r>
    <d v="2026-06-03T00:00:00"/>
    <x v="118"/>
    <s v="AM"/>
    <x v="7"/>
  </r>
  <r>
    <d v="2026-06-03T00:00:00"/>
    <x v="119"/>
    <s v="AM"/>
    <x v="7"/>
  </r>
  <r>
    <d v="2026-06-03T00:00:00"/>
    <x v="121"/>
    <s v="AM"/>
    <x v="7"/>
  </r>
  <r>
    <d v="2026-06-03T00:00:00"/>
    <x v="108"/>
    <s v="AM"/>
    <x v="7"/>
  </r>
  <r>
    <d v="2026-06-03T00:00:00"/>
    <x v="102"/>
    <s v="AM"/>
    <x v="7"/>
  </r>
  <r>
    <d v="2026-06-03T00:00:00"/>
    <x v="152"/>
    <s v="PM"/>
    <x v="4"/>
  </r>
  <r>
    <d v="2026-06-03T00:00:00"/>
    <x v="145"/>
    <s v="PM"/>
    <x v="5"/>
  </r>
  <r>
    <d v="2026-06-03T00:00:00"/>
    <x v="134"/>
    <s v="PM"/>
    <x v="6"/>
  </r>
  <r>
    <d v="2026-06-03T00:00:00"/>
    <x v="135"/>
    <s v="PM"/>
    <x v="6"/>
  </r>
  <r>
    <d v="2026-06-03T00:00:00"/>
    <x v="144"/>
    <s v="PM"/>
    <x v="6"/>
  </r>
  <r>
    <d v="2026-06-03T00:00:00"/>
    <x v="138"/>
    <s v="PM"/>
    <x v="6"/>
  </r>
  <r>
    <d v="2026-06-03T00:00:00"/>
    <x v="147"/>
    <s v="PM"/>
    <x v="6"/>
  </r>
  <r>
    <d v="2026-06-03T00:00:00"/>
    <x v="150"/>
    <s v="PM"/>
    <x v="6"/>
  </r>
  <r>
    <d v="2026-06-03T00:00:00"/>
    <x v="151"/>
    <s v="PM"/>
    <x v="6"/>
  </r>
  <r>
    <d v="2026-06-03T00:00:00"/>
    <x v="154"/>
    <s v="PM"/>
    <x v="6"/>
  </r>
  <r>
    <d v="2026-06-03T00:00:00"/>
    <x v="155"/>
    <s v="PM"/>
    <x v="6"/>
  </r>
  <r>
    <d v="2026-06-03T00:00:00"/>
    <x v="133"/>
    <s v="PM"/>
    <x v="7"/>
  </r>
  <r>
    <d v="2026-06-03T00:00:00"/>
    <x v="142"/>
    <s v="PM"/>
    <x v="7"/>
  </r>
  <r>
    <d v="2026-06-03T00:00:00"/>
    <x v="143"/>
    <s v="PM"/>
    <x v="7"/>
  </r>
  <r>
    <d v="2026-06-03T00:00:00"/>
    <x v="132"/>
    <s v="PM"/>
    <x v="7"/>
  </r>
  <r>
    <d v="2026-06-03T00:00:00"/>
    <x v="136"/>
    <s v="PM"/>
    <x v="7"/>
  </r>
  <r>
    <d v="2026-06-03T00:00:00"/>
    <x v="137"/>
    <s v="PM"/>
    <x v="7"/>
  </r>
  <r>
    <d v="2026-06-03T00:00:00"/>
    <x v="146"/>
    <s v="PM"/>
    <x v="7"/>
  </r>
  <r>
    <d v="2026-06-03T00:00:00"/>
    <x v="148"/>
    <s v="PM"/>
    <x v="7"/>
  </r>
  <r>
    <d v="2026-06-03T00:00:00"/>
    <x v="139"/>
    <s v="PM"/>
    <x v="7"/>
  </r>
  <r>
    <d v="2026-06-03T00:00:00"/>
    <x v="149"/>
    <s v="PM"/>
    <x v="7"/>
  </r>
  <r>
    <d v="2026-06-03T00:00:00"/>
    <x v="140"/>
    <s v="PM"/>
    <x v="7"/>
  </r>
  <r>
    <d v="2026-06-03T00:00:00"/>
    <x v="153"/>
    <s v="PM"/>
    <x v="7"/>
  </r>
  <r>
    <d v="2026-06-03T00:00:00"/>
    <x v="141"/>
    <s v="PM"/>
    <x v="7"/>
  </r>
  <r>
    <d v="2026-06-03T00:00:00"/>
    <x v="156"/>
    <s v="PM"/>
    <x v="7"/>
  </r>
  <r>
    <d v="2026-06-03T00:00:00"/>
    <x v="131"/>
    <s v="PM"/>
    <x v="7"/>
  </r>
  <r>
    <d v="2026-06-05T00:00:00"/>
    <x v="157"/>
    <s v="AM"/>
    <x v="0"/>
  </r>
  <r>
    <d v="2026-06-05T00:00:00"/>
    <x v="158"/>
    <s v="AM"/>
    <x v="0"/>
  </r>
  <r>
    <d v="2026-06-05T00:00:00"/>
    <x v="25"/>
    <s v="MI-TEMPS"/>
    <x v="0"/>
  </r>
  <r>
    <d v="2026-06-05T00:00:00"/>
    <x v="159"/>
    <s v="AM"/>
    <x v="0"/>
  </r>
  <r>
    <d v="2026-06-05T00:00:00"/>
    <x v="160"/>
    <s v="AM"/>
    <x v="0"/>
  </r>
  <r>
    <d v="2026-06-05T00:00:00"/>
    <x v="4"/>
    <s v="AM"/>
    <x v="0"/>
  </r>
  <r>
    <d v="2026-06-05T00:00:00"/>
    <x v="45"/>
    <s v="DAY"/>
    <x v="0"/>
  </r>
  <r>
    <d v="2026-06-05T00:00:00"/>
    <x v="49"/>
    <s v="AM"/>
    <x v="0"/>
  </r>
  <r>
    <d v="2026-06-05T00:00:00"/>
    <x v="161"/>
    <s v="AM"/>
    <x v="0"/>
  </r>
  <r>
    <d v="2026-06-05T00:00:00"/>
    <x v="9"/>
    <s v="AM"/>
    <x v="0"/>
  </r>
  <r>
    <d v="2026-06-05T00:00:00"/>
    <x v="14"/>
    <s v="AM"/>
    <x v="1"/>
  </r>
  <r>
    <d v="2026-06-05T00:00:00"/>
    <x v="35"/>
    <s v="AM"/>
    <x v="1"/>
  </r>
  <r>
    <d v="2026-06-05T00:00:00"/>
    <x v="38"/>
    <s v="AM"/>
    <x v="1"/>
  </r>
  <r>
    <d v="2026-06-05T00:00:00"/>
    <x v="51"/>
    <s v="DAY"/>
    <x v="1"/>
  </r>
  <r>
    <d v="2026-06-05T00:00:00"/>
    <x v="10"/>
    <s v="AM"/>
    <x v="2"/>
  </r>
  <r>
    <d v="2026-06-05T00:00:00"/>
    <x v="0"/>
    <s v="AM"/>
    <x v="2"/>
  </r>
  <r>
    <d v="2026-06-05T00:00:00"/>
    <x v="16"/>
    <s v="DAY"/>
    <x v="2"/>
  </r>
  <r>
    <d v="2026-06-05T00:00:00"/>
    <x v="17"/>
    <s v="AM"/>
    <x v="2"/>
  </r>
  <r>
    <d v="2026-06-05T00:00:00"/>
    <x v="18"/>
    <s v="AM"/>
    <x v="2"/>
  </r>
  <r>
    <d v="2026-06-05T00:00:00"/>
    <x v="19"/>
    <s v="AM"/>
    <x v="2"/>
  </r>
  <r>
    <d v="2026-06-05T00:00:00"/>
    <x v="20"/>
    <s v="AM"/>
    <x v="2"/>
  </r>
  <r>
    <d v="2026-06-05T00:00:00"/>
    <x v="21"/>
    <s v="AM"/>
    <x v="2"/>
  </r>
  <r>
    <d v="2026-06-05T00:00:00"/>
    <x v="22"/>
    <s v="AM"/>
    <x v="2"/>
  </r>
  <r>
    <d v="2026-06-05T00:00:00"/>
    <x v="1"/>
    <s v="AM"/>
    <x v="2"/>
  </r>
  <r>
    <d v="2026-06-05T00:00:00"/>
    <x v="23"/>
    <s v="AM"/>
    <x v="2"/>
  </r>
  <r>
    <d v="2026-06-05T00:00:00"/>
    <x v="24"/>
    <s v="MI-TEMPS"/>
    <x v="2"/>
  </r>
  <r>
    <d v="2026-06-05T00:00:00"/>
    <x v="27"/>
    <s v="MI-TEMPS"/>
    <x v="2"/>
  </r>
  <r>
    <d v="2026-06-05T00:00:00"/>
    <x v="28"/>
    <s v="AM"/>
    <x v="2"/>
  </r>
  <r>
    <d v="2026-06-05T00:00:00"/>
    <x v="29"/>
    <s v="AM"/>
    <x v="2"/>
  </r>
  <r>
    <d v="2026-06-05T00:00:00"/>
    <x v="30"/>
    <s v="DAY"/>
    <x v="2"/>
  </r>
  <r>
    <d v="2026-06-05T00:00:00"/>
    <x v="2"/>
    <s v="AM"/>
    <x v="2"/>
  </r>
  <r>
    <d v="2026-06-05T00:00:00"/>
    <x v="31"/>
    <s v="AM"/>
    <x v="2"/>
  </r>
  <r>
    <d v="2026-06-05T00:00:00"/>
    <x v="33"/>
    <s v="AM"/>
    <x v="2"/>
  </r>
  <r>
    <d v="2026-06-05T00:00:00"/>
    <x v="3"/>
    <s v="AM"/>
    <x v="2"/>
  </r>
  <r>
    <d v="2026-06-05T00:00:00"/>
    <x v="12"/>
    <s v="AM"/>
    <x v="2"/>
  </r>
  <r>
    <d v="2026-06-05T00:00:00"/>
    <x v="36"/>
    <s v="AM"/>
    <x v="2"/>
  </r>
  <r>
    <d v="2026-06-05T00:00:00"/>
    <x v="37"/>
    <s v="DAY"/>
    <x v="2"/>
  </r>
  <r>
    <d v="2026-06-05T00:00:00"/>
    <x v="39"/>
    <s v="AM"/>
    <x v="2"/>
  </r>
  <r>
    <d v="2026-06-05T00:00:00"/>
    <x v="13"/>
    <s v="AM"/>
    <x v="2"/>
  </r>
  <r>
    <d v="2026-06-05T00:00:00"/>
    <x v="41"/>
    <s v="AM"/>
    <x v="2"/>
  </r>
  <r>
    <d v="2026-06-05T00:00:00"/>
    <x v="42"/>
    <s v="MI-TEMPS"/>
    <x v="2"/>
  </r>
  <r>
    <d v="2026-06-05T00:00:00"/>
    <x v="43"/>
    <s v="AM"/>
    <x v="2"/>
  </r>
  <r>
    <d v="2026-06-05T00:00:00"/>
    <x v="44"/>
    <s v="MI-TEMPS"/>
    <x v="2"/>
  </r>
  <r>
    <d v="2026-06-05T00:00:00"/>
    <x v="46"/>
    <s v="MI-TEMPS"/>
    <x v="2"/>
  </r>
  <r>
    <d v="2026-06-05T00:00:00"/>
    <x v="47"/>
    <s v="AM"/>
    <x v="2"/>
  </r>
  <r>
    <d v="2026-06-05T00:00:00"/>
    <x v="48"/>
    <s v="MI-TEMPS"/>
    <x v="2"/>
  </r>
  <r>
    <d v="2026-06-05T00:00:00"/>
    <x v="50"/>
    <s v="AM"/>
    <x v="2"/>
  </r>
  <r>
    <d v="2026-06-05T00:00:00"/>
    <x v="5"/>
    <s v="AM"/>
    <x v="2"/>
  </r>
  <r>
    <d v="2026-06-05T00:00:00"/>
    <x v="6"/>
    <s v="AM"/>
    <x v="2"/>
  </r>
  <r>
    <d v="2026-06-05T00:00:00"/>
    <x v="8"/>
    <s v="AM"/>
    <x v="2"/>
  </r>
  <r>
    <d v="2026-06-05T00:00:00"/>
    <x v="53"/>
    <s v="MI-TEMPS"/>
    <x v="2"/>
  </r>
  <r>
    <d v="2026-06-05T00:00:00"/>
    <x v="54"/>
    <s v="DAY"/>
    <x v="2"/>
  </r>
  <r>
    <d v="2026-06-05T00:00:00"/>
    <x v="56"/>
    <s v="AM"/>
    <x v="3"/>
  </r>
  <r>
    <d v="2026-06-05T00:00:00"/>
    <x v="162"/>
    <s v="AM"/>
    <x v="3"/>
  </r>
  <r>
    <d v="2026-06-05T00:00:00"/>
    <x v="57"/>
    <s v="AM"/>
    <x v="3"/>
  </r>
  <r>
    <d v="2026-06-05T00:00:00"/>
    <x v="40"/>
    <s v="AM"/>
    <x v="3"/>
  </r>
  <r>
    <d v="2026-06-05T00:00:00"/>
    <x v="58"/>
    <s v="AM"/>
    <x v="3"/>
  </r>
  <r>
    <d v="2026-06-05T00:00:00"/>
    <x v="163"/>
    <s v="PM"/>
    <x v="0"/>
  </r>
  <r>
    <d v="2026-06-05T00:00:00"/>
    <x v="164"/>
    <s v="PM"/>
    <x v="0"/>
  </r>
  <r>
    <d v="2026-06-05T00:00:00"/>
    <x v="82"/>
    <s v="PM"/>
    <x v="0"/>
  </r>
  <r>
    <d v="2026-06-05T00:00:00"/>
    <x v="85"/>
    <s v="PM"/>
    <x v="0"/>
  </r>
  <r>
    <d v="2026-06-05T00:00:00"/>
    <x v="85"/>
    <s v="PM"/>
    <x v="0"/>
  </r>
  <r>
    <d v="2026-06-05T00:00:00"/>
    <x v="165"/>
    <s v="PM"/>
    <x v="0"/>
  </r>
  <r>
    <d v="2026-06-05T00:00:00"/>
    <x v="166"/>
    <s v="PM"/>
    <x v="0"/>
  </r>
  <r>
    <d v="2026-06-05T00:00:00"/>
    <x v="94"/>
    <s v="PM"/>
    <x v="0"/>
  </r>
  <r>
    <d v="2026-06-05T00:00:00"/>
    <x v="167"/>
    <s v="PM"/>
    <x v="0"/>
  </r>
  <r>
    <d v="2026-06-05T00:00:00"/>
    <x v="168"/>
    <s v="PM"/>
    <x v="0"/>
  </r>
  <r>
    <d v="2026-06-05T00:00:00"/>
    <x v="75"/>
    <s v="PM"/>
    <x v="1"/>
  </r>
  <r>
    <d v="2026-06-05T00:00:00"/>
    <x v="83"/>
    <s v="PM"/>
    <x v="1"/>
  </r>
  <r>
    <d v="2026-06-05T00:00:00"/>
    <x v="64"/>
    <s v="PM"/>
    <x v="1"/>
  </r>
  <r>
    <d v="2026-06-05T00:00:00"/>
    <x v="71"/>
    <s v="PM"/>
    <x v="1"/>
  </r>
  <r>
    <d v="2026-06-05T00:00:00"/>
    <x v="73"/>
    <s v="PM"/>
    <x v="2"/>
  </r>
  <r>
    <d v="2026-06-05T00:00:00"/>
    <x v="59"/>
    <s v="PM"/>
    <x v="2"/>
  </r>
  <r>
    <d v="2026-06-05T00:00:00"/>
    <x v="60"/>
    <s v="PM"/>
    <x v="2"/>
  </r>
  <r>
    <d v="2026-06-05T00:00:00"/>
    <x v="76"/>
    <s v="PM"/>
    <x v="2"/>
  </r>
  <r>
    <d v="2026-06-05T00:00:00"/>
    <x v="78"/>
    <s v="PM"/>
    <x v="2"/>
  </r>
  <r>
    <d v="2026-06-05T00:00:00"/>
    <x v="61"/>
    <s v="PM"/>
    <x v="2"/>
  </r>
  <r>
    <d v="2026-06-05T00:00:00"/>
    <x v="80"/>
    <s v="PM"/>
    <x v="2"/>
  </r>
  <r>
    <d v="2026-06-05T00:00:00"/>
    <x v="62"/>
    <s v="PM"/>
    <x v="2"/>
  </r>
  <r>
    <d v="2026-06-05T00:00:00"/>
    <x v="63"/>
    <s v="PM"/>
    <x v="2"/>
  </r>
  <r>
    <d v="2026-06-05T00:00:00"/>
    <x v="65"/>
    <s v="PM"/>
    <x v="2"/>
  </r>
  <r>
    <d v="2026-06-05T00:00:00"/>
    <x v="84"/>
    <s v="PM"/>
    <x v="2"/>
  </r>
  <r>
    <d v="2026-06-05T00:00:00"/>
    <x v="66"/>
    <s v="PM"/>
    <x v="2"/>
  </r>
  <r>
    <d v="2026-06-05T00:00:00"/>
    <x v="87"/>
    <s v="PM"/>
    <x v="2"/>
  </r>
  <r>
    <d v="2026-06-05T00:00:00"/>
    <x v="88"/>
    <s v="PM"/>
    <x v="2"/>
  </r>
  <r>
    <d v="2026-06-05T00:00:00"/>
    <x v="89"/>
    <s v="PM"/>
    <x v="2"/>
  </r>
  <r>
    <d v="2026-06-05T00:00:00"/>
    <x v="90"/>
    <s v="PM"/>
    <x v="2"/>
  </r>
  <r>
    <d v="2026-06-05T00:00:00"/>
    <x v="69"/>
    <s v="PM"/>
    <x v="2"/>
  </r>
  <r>
    <d v="2026-06-05T00:00:00"/>
    <x v="69"/>
    <s v="PM"/>
    <x v="2"/>
  </r>
  <r>
    <d v="2026-06-05T00:00:00"/>
    <x v="91"/>
    <s v="PM"/>
    <x v="2"/>
  </r>
  <r>
    <d v="2026-06-05T00:00:00"/>
    <x v="68"/>
    <s v="PM"/>
    <x v="2"/>
  </r>
  <r>
    <d v="2026-06-05T00:00:00"/>
    <x v="92"/>
    <s v="PM"/>
    <x v="2"/>
  </r>
  <r>
    <d v="2026-06-05T00:00:00"/>
    <x v="93"/>
    <s v="PM"/>
    <x v="2"/>
  </r>
  <r>
    <d v="2026-06-05T00:00:00"/>
    <x v="72"/>
    <s v="PM"/>
    <x v="2"/>
  </r>
  <r>
    <d v="2026-06-05T00:00:00"/>
    <x v="94"/>
    <s v="PM"/>
    <x v="2"/>
  </r>
  <r>
    <d v="2026-06-05T00:00:00"/>
    <x v="96"/>
    <s v="PM"/>
    <x v="2"/>
  </r>
  <r>
    <d v="2026-06-05T00:00:00"/>
    <x v="97"/>
    <s v="PM"/>
    <x v="3"/>
  </r>
  <r>
    <d v="2026-06-05T00:00:00"/>
    <x v="98"/>
    <s v="PM"/>
    <x v="3"/>
  </r>
  <r>
    <d v="2026-06-05T00:00:00"/>
    <x v="99"/>
    <s v="PM"/>
    <x v="3"/>
  </r>
  <r>
    <d v="2026-06-05T00:00:00"/>
    <x v="100"/>
    <s v="PM"/>
    <x v="3"/>
  </r>
  <r>
    <d v="2026-06-05T00:00:00"/>
    <x v="101"/>
    <s v="PM"/>
    <x v="3"/>
  </r>
  <r>
    <d v="2026-06-05T00:00:00"/>
    <x v="169"/>
    <s v="AM"/>
    <x v="4"/>
  </r>
  <r>
    <d v="2026-06-05T00:00:00"/>
    <x v="170"/>
    <s v="AM"/>
    <x v="5"/>
  </r>
  <r>
    <d v="2026-06-05T00:00:00"/>
    <x v="106"/>
    <s v="AM"/>
    <x v="6"/>
  </r>
  <r>
    <d v="2026-06-05T00:00:00"/>
    <x v="115"/>
    <s v="AM"/>
    <x v="6"/>
  </r>
  <r>
    <d v="2026-06-05T00:00:00"/>
    <x v="124"/>
    <s v="AM"/>
    <x v="6"/>
  </r>
  <r>
    <d v="2026-06-05T00:00:00"/>
    <x v="128"/>
    <s v="AM"/>
    <x v="6"/>
  </r>
  <r>
    <d v="2026-06-05T00:00:00"/>
    <x v="129"/>
    <s v="AM"/>
    <x v="6"/>
  </r>
  <r>
    <d v="2026-06-05T00:00:00"/>
    <x v="130"/>
    <s v="AM"/>
    <x v="6"/>
  </r>
  <r>
    <d v="2026-06-05T00:00:00"/>
    <x v="104"/>
    <s v="AM"/>
    <x v="7"/>
  </r>
  <r>
    <d v="2026-06-05T00:00:00"/>
    <x v="110"/>
    <s v="AM"/>
    <x v="7"/>
  </r>
  <r>
    <d v="2026-06-05T00:00:00"/>
    <x v="105"/>
    <s v="AM"/>
    <x v="7"/>
  </r>
  <r>
    <d v="2026-06-05T00:00:00"/>
    <x v="103"/>
    <s v="AM"/>
    <x v="7"/>
  </r>
  <r>
    <d v="2026-06-05T00:00:00"/>
    <x v="112"/>
    <s v="DAY"/>
    <x v="7"/>
  </r>
  <r>
    <d v="2026-06-05T00:00:00"/>
    <x v="113"/>
    <s v="AM"/>
    <x v="7"/>
  </r>
  <r>
    <d v="2026-06-05T00:00:00"/>
    <x v="114"/>
    <s v="DAY"/>
    <x v="7"/>
  </r>
  <r>
    <d v="2026-06-05T00:00:00"/>
    <x v="116"/>
    <s v="AM"/>
    <x v="7"/>
  </r>
  <r>
    <d v="2026-06-05T00:00:00"/>
    <x v="117"/>
    <s v="AM"/>
    <x v="7"/>
  </r>
  <r>
    <d v="2026-06-05T00:00:00"/>
    <x v="119"/>
    <s v="AM"/>
    <x v="7"/>
  </r>
  <r>
    <d v="2026-06-05T00:00:00"/>
    <x v="120"/>
    <s v="AM"/>
    <x v="7"/>
  </r>
  <r>
    <d v="2026-06-05T00:00:00"/>
    <x v="121"/>
    <s v="AM"/>
    <x v="7"/>
  </r>
  <r>
    <d v="2026-06-05T00:00:00"/>
    <x v="122"/>
    <s v="AM"/>
    <x v="7"/>
  </r>
  <r>
    <d v="2026-06-05T00:00:00"/>
    <x v="108"/>
    <s v="AM"/>
    <x v="7"/>
  </r>
  <r>
    <d v="2026-06-05T00:00:00"/>
    <x v="102"/>
    <s v="AM"/>
    <x v="7"/>
  </r>
  <r>
    <d v="2026-06-05T00:00:00"/>
    <x v="109"/>
    <s v="AM"/>
    <x v="7"/>
  </r>
  <r>
    <d v="2026-06-05T00:00:00"/>
    <x v="123"/>
    <s v="AM"/>
    <x v="7"/>
  </r>
  <r>
    <d v="2026-06-05T00:00:00"/>
    <x v="126"/>
    <s v="AM"/>
    <x v="7"/>
  </r>
  <r>
    <d v="2026-06-05T00:00:00"/>
    <x v="127"/>
    <s v="AM"/>
    <x v="7"/>
  </r>
  <r>
    <d v="2026-06-05T00:00:00"/>
    <x v="171"/>
    <s v="PM"/>
    <x v="4"/>
  </r>
  <r>
    <d v="2026-06-05T00:00:00"/>
    <x v="74"/>
    <s v="PM"/>
    <x v="5"/>
  </r>
  <r>
    <d v="2026-06-05T00:00:00"/>
    <x v="142"/>
    <s v="PM"/>
    <x v="6"/>
  </r>
  <r>
    <d v="2026-06-05T00:00:00"/>
    <x v="137"/>
    <s v="PM"/>
    <x v="6"/>
  </r>
  <r>
    <d v="2026-06-05T00:00:00"/>
    <x v="146"/>
    <s v="PM"/>
    <x v="6"/>
  </r>
  <r>
    <d v="2026-06-05T00:00:00"/>
    <x v="138"/>
    <s v="PM"/>
    <x v="6"/>
  </r>
  <r>
    <d v="2026-06-05T00:00:00"/>
    <x v="148"/>
    <s v="PM"/>
    <x v="6"/>
  </r>
  <r>
    <d v="2026-06-05T00:00:00"/>
    <x v="149"/>
    <s v="PM"/>
    <x v="6"/>
  </r>
  <r>
    <d v="2026-06-05T00:00:00"/>
    <x v="150"/>
    <s v="PM"/>
    <x v="6"/>
  </r>
  <r>
    <d v="2026-06-05T00:00:00"/>
    <x v="140"/>
    <s v="PM"/>
    <x v="6"/>
  </r>
  <r>
    <d v="2026-06-05T00:00:00"/>
    <x v="131"/>
    <s v="PM"/>
    <x v="6"/>
  </r>
  <r>
    <d v="2026-06-05T00:00:00"/>
    <x v="134"/>
    <s v="PM"/>
    <x v="7"/>
  </r>
  <r>
    <d v="2026-06-05T00:00:00"/>
    <x v="135"/>
    <s v="PM"/>
    <x v="7"/>
  </r>
  <r>
    <d v="2026-06-05T00:00:00"/>
    <x v="143"/>
    <s v="PM"/>
    <x v="7"/>
  </r>
  <r>
    <d v="2026-06-05T00:00:00"/>
    <x v="132"/>
    <s v="PM"/>
    <x v="7"/>
  </r>
  <r>
    <d v="2026-06-05T00:00:00"/>
    <x v="136"/>
    <s v="PM"/>
    <x v="7"/>
  </r>
  <r>
    <d v="2026-06-05T00:00:00"/>
    <x v="144"/>
    <s v="PM"/>
    <x v="7"/>
  </r>
  <r>
    <d v="2026-06-05T00:00:00"/>
    <x v="145"/>
    <s v="PM"/>
    <x v="7"/>
  </r>
  <r>
    <d v="2026-06-05T00:00:00"/>
    <x v="147"/>
    <s v="PM"/>
    <x v="7"/>
  </r>
  <r>
    <d v="2026-06-05T00:00:00"/>
    <x v="139"/>
    <s v="PM"/>
    <x v="7"/>
  </r>
  <r>
    <d v="2026-06-05T00:00:00"/>
    <x v="151"/>
    <s v="PM"/>
    <x v="7"/>
  </r>
  <r>
    <d v="2026-06-05T00:00:00"/>
    <x v="152"/>
    <s v="PM"/>
    <x v="7"/>
  </r>
  <r>
    <d v="2026-06-05T00:00:00"/>
    <x v="141"/>
    <s v="PM"/>
    <x v="7"/>
  </r>
  <r>
    <d v="2026-06-05T00:00:00"/>
    <x v="155"/>
    <s v="PM"/>
    <x v="7"/>
  </r>
  <r>
    <d v="2026-06-05T00:00:00"/>
    <x v="157"/>
    <s v="AM"/>
    <x v="0"/>
  </r>
  <r>
    <d v="2026-06-05T00:00:00"/>
    <x v="16"/>
    <s v="DAY"/>
    <x v="0"/>
  </r>
  <r>
    <d v="2026-06-05T00:00:00"/>
    <x v="18"/>
    <s v="AM"/>
    <x v="0"/>
  </r>
  <r>
    <d v="2026-06-05T00:00:00"/>
    <x v="158"/>
    <s v="AM"/>
    <x v="0"/>
  </r>
  <r>
    <d v="2026-06-05T00:00:00"/>
    <x v="3"/>
    <s v="AM"/>
    <x v="0"/>
  </r>
  <r>
    <d v="2026-06-05T00:00:00"/>
    <x v="159"/>
    <s v="AM"/>
    <x v="0"/>
  </r>
  <r>
    <d v="2026-06-05T00:00:00"/>
    <x v="160"/>
    <s v="AM"/>
    <x v="0"/>
  </r>
  <r>
    <d v="2026-06-05T00:00:00"/>
    <x v="6"/>
    <s v="AM"/>
    <x v="0"/>
  </r>
  <r>
    <d v="2026-06-05T00:00:00"/>
    <x v="161"/>
    <s v="AM"/>
    <x v="0"/>
  </r>
  <r>
    <d v="2026-06-05T00:00:00"/>
    <x v="51"/>
    <s v="DAY"/>
    <x v="0"/>
  </r>
  <r>
    <d v="2026-06-05T00:00:00"/>
    <x v="21"/>
    <s v="AM"/>
    <x v="1"/>
  </r>
  <r>
    <d v="2026-06-05T00:00:00"/>
    <x v="22"/>
    <s v="AM"/>
    <x v="1"/>
  </r>
  <r>
    <d v="2026-06-05T00:00:00"/>
    <x v="44"/>
    <s v="MI-TEMPS"/>
    <x v="1"/>
  </r>
  <r>
    <d v="2026-06-05T00:00:00"/>
    <x v="8"/>
    <s v="AM"/>
    <x v="1"/>
  </r>
  <r>
    <d v="2026-06-05T00:00:00"/>
    <x v="10"/>
    <s v="AM"/>
    <x v="2"/>
  </r>
  <r>
    <d v="2026-06-05T00:00:00"/>
    <x v="14"/>
    <s v="AM"/>
    <x v="2"/>
  </r>
  <r>
    <d v="2026-06-05T00:00:00"/>
    <x v="0"/>
    <s v="AM"/>
    <x v="2"/>
  </r>
  <r>
    <d v="2026-06-05T00:00:00"/>
    <x v="17"/>
    <s v="AM"/>
    <x v="2"/>
  </r>
  <r>
    <d v="2026-06-05T00:00:00"/>
    <x v="19"/>
    <s v="AM"/>
    <x v="2"/>
  </r>
  <r>
    <d v="2026-06-05T00:00:00"/>
    <x v="20"/>
    <s v="AM"/>
    <x v="2"/>
  </r>
  <r>
    <d v="2026-06-05T00:00:00"/>
    <x v="1"/>
    <s v="AM"/>
    <x v="2"/>
  </r>
  <r>
    <d v="2026-06-05T00:00:00"/>
    <x v="23"/>
    <s v="AM"/>
    <x v="2"/>
  </r>
  <r>
    <d v="2026-06-05T00:00:00"/>
    <x v="24"/>
    <s v="MI-TEMPS"/>
    <x v="2"/>
  </r>
  <r>
    <d v="2026-06-05T00:00:00"/>
    <x v="25"/>
    <s v="MI-TEMPS"/>
    <x v="2"/>
  </r>
  <r>
    <d v="2026-06-05T00:00:00"/>
    <x v="27"/>
    <s v="MI-TEMPS"/>
    <x v="2"/>
  </r>
  <r>
    <d v="2026-06-05T00:00:00"/>
    <x v="28"/>
    <s v="AM"/>
    <x v="2"/>
  </r>
  <r>
    <d v="2026-06-05T00:00:00"/>
    <x v="29"/>
    <s v="AM"/>
    <x v="2"/>
  </r>
  <r>
    <d v="2026-06-05T00:00:00"/>
    <x v="30"/>
    <s v="DAY"/>
    <x v="2"/>
  </r>
  <r>
    <d v="2026-06-05T00:00:00"/>
    <x v="2"/>
    <s v="AM"/>
    <x v="2"/>
  </r>
  <r>
    <d v="2026-06-05T00:00:00"/>
    <x v="31"/>
    <s v="AM"/>
    <x v="2"/>
  </r>
  <r>
    <d v="2026-06-05T00:00:00"/>
    <x v="33"/>
    <s v="AM"/>
    <x v="2"/>
  </r>
  <r>
    <d v="2026-06-05T00:00:00"/>
    <x v="12"/>
    <s v="AM"/>
    <x v="2"/>
  </r>
  <r>
    <d v="2026-06-05T00:00:00"/>
    <x v="35"/>
    <s v="AM"/>
    <x v="2"/>
  </r>
  <r>
    <d v="2026-06-05T00:00:00"/>
    <x v="36"/>
    <s v="AM"/>
    <x v="2"/>
  </r>
  <r>
    <d v="2026-06-05T00:00:00"/>
    <x v="37"/>
    <s v="DAY"/>
    <x v="2"/>
  </r>
  <r>
    <d v="2026-06-05T00:00:00"/>
    <x v="38"/>
    <s v="AM"/>
    <x v="2"/>
  </r>
  <r>
    <d v="2026-06-05T00:00:00"/>
    <x v="39"/>
    <s v="AM"/>
    <x v="2"/>
  </r>
  <r>
    <d v="2026-06-05T00:00:00"/>
    <x v="13"/>
    <s v="AM"/>
    <x v="2"/>
  </r>
  <r>
    <d v="2026-06-05T00:00:00"/>
    <x v="4"/>
    <s v="AM"/>
    <x v="2"/>
  </r>
  <r>
    <d v="2026-06-05T00:00:00"/>
    <x v="41"/>
    <s v="AM"/>
    <x v="2"/>
  </r>
  <r>
    <d v="2026-06-05T00:00:00"/>
    <x v="42"/>
    <s v="MI-TEMPS"/>
    <x v="2"/>
  </r>
  <r>
    <d v="2026-06-05T00:00:00"/>
    <x v="43"/>
    <s v="AM"/>
    <x v="2"/>
  </r>
  <r>
    <d v="2026-06-05T00:00:00"/>
    <x v="45"/>
    <s v="DAY"/>
    <x v="2"/>
  </r>
  <r>
    <d v="2026-06-05T00:00:00"/>
    <x v="46"/>
    <s v="MI-TEMPS"/>
    <x v="2"/>
  </r>
  <r>
    <d v="2026-06-05T00:00:00"/>
    <x v="47"/>
    <s v="AM"/>
    <x v="2"/>
  </r>
  <r>
    <d v="2026-06-05T00:00:00"/>
    <x v="48"/>
    <s v="MI-TEMPS"/>
    <x v="2"/>
  </r>
  <r>
    <d v="2026-06-05T00:00:00"/>
    <x v="49"/>
    <s v="AM"/>
    <x v="2"/>
  </r>
  <r>
    <d v="2026-06-05T00:00:00"/>
    <x v="50"/>
    <s v="AM"/>
    <x v="2"/>
  </r>
  <r>
    <d v="2026-06-05T00:00:00"/>
    <x v="5"/>
    <s v="AM"/>
    <x v="2"/>
  </r>
  <r>
    <d v="2026-06-05T00:00:00"/>
    <x v="9"/>
    <s v="AM"/>
    <x v="2"/>
  </r>
  <r>
    <d v="2026-06-05T00:00:00"/>
    <x v="53"/>
    <s v="MI-TEMPS"/>
    <x v="2"/>
  </r>
  <r>
    <d v="2026-06-05T00:00:00"/>
    <x v="54"/>
    <s v="DAY"/>
    <x v="2"/>
  </r>
  <r>
    <d v="2026-06-05T00:00:00"/>
    <x v="56"/>
    <s v="AM"/>
    <x v="3"/>
  </r>
  <r>
    <d v="2026-06-05T00:00:00"/>
    <x v="162"/>
    <s v="AM"/>
    <x v="3"/>
  </r>
  <r>
    <d v="2026-06-05T00:00:00"/>
    <x v="57"/>
    <s v="AM"/>
    <x v="3"/>
  </r>
  <r>
    <d v="2026-06-05T00:00:00"/>
    <x v="40"/>
    <s v="AM"/>
    <x v="3"/>
  </r>
  <r>
    <d v="2026-06-05T00:00:00"/>
    <x v="58"/>
    <s v="AM"/>
    <x v="3"/>
  </r>
  <r>
    <d v="2026-06-05T00:00:00"/>
    <x v="163"/>
    <s v="PM"/>
    <x v="0"/>
  </r>
  <r>
    <d v="2026-06-05T00:00:00"/>
    <x v="76"/>
    <s v="PM"/>
    <x v="0"/>
  </r>
  <r>
    <d v="2026-06-05T00:00:00"/>
    <x v="164"/>
    <s v="PM"/>
    <x v="0"/>
  </r>
  <r>
    <d v="2026-06-05T00:00:00"/>
    <x v="84"/>
    <s v="PM"/>
    <x v="0"/>
  </r>
  <r>
    <d v="2026-06-05T00:00:00"/>
    <x v="87"/>
    <s v="PM"/>
    <x v="0"/>
  </r>
  <r>
    <d v="2026-06-05T00:00:00"/>
    <x v="165"/>
    <s v="PM"/>
    <x v="0"/>
  </r>
  <r>
    <d v="2026-06-05T00:00:00"/>
    <x v="166"/>
    <s v="PM"/>
    <x v="0"/>
  </r>
  <r>
    <d v="2026-06-05T00:00:00"/>
    <x v="167"/>
    <s v="PM"/>
    <x v="0"/>
  </r>
  <r>
    <d v="2026-06-05T00:00:00"/>
    <x v="168"/>
    <s v="PM"/>
    <x v="0"/>
  </r>
  <r>
    <d v="2026-06-05T00:00:00"/>
    <x v="96"/>
    <s v="PM"/>
    <x v="0"/>
  </r>
  <r>
    <d v="2026-06-05T00:00:00"/>
    <x v="61"/>
    <s v="PM"/>
    <x v="1"/>
  </r>
  <r>
    <d v="2026-06-05T00:00:00"/>
    <x v="91"/>
    <s v="PM"/>
    <x v="1"/>
  </r>
  <r>
    <d v="2026-06-05T00:00:00"/>
    <x v="92"/>
    <s v="PM"/>
    <x v="1"/>
  </r>
  <r>
    <d v="2026-06-05T00:00:00"/>
    <x v="72"/>
    <s v="PM"/>
    <x v="1"/>
  </r>
  <r>
    <d v="2026-06-05T00:00:00"/>
    <x v="73"/>
    <s v="PM"/>
    <x v="2"/>
  </r>
  <r>
    <d v="2026-06-05T00:00:00"/>
    <x v="59"/>
    <s v="PM"/>
    <x v="2"/>
  </r>
  <r>
    <d v="2026-06-05T00:00:00"/>
    <x v="75"/>
    <s v="PM"/>
    <x v="2"/>
  </r>
  <r>
    <d v="2026-06-05T00:00:00"/>
    <x v="60"/>
    <s v="PM"/>
    <x v="2"/>
  </r>
  <r>
    <d v="2026-06-05T00:00:00"/>
    <x v="78"/>
    <s v="PM"/>
    <x v="2"/>
  </r>
  <r>
    <d v="2026-06-05T00:00:00"/>
    <x v="80"/>
    <s v="PM"/>
    <x v="2"/>
  </r>
  <r>
    <d v="2026-06-05T00:00:00"/>
    <x v="62"/>
    <s v="PM"/>
    <x v="2"/>
  </r>
  <r>
    <d v="2026-06-05T00:00:00"/>
    <x v="82"/>
    <s v="PM"/>
    <x v="2"/>
  </r>
  <r>
    <d v="2026-06-05T00:00:00"/>
    <x v="83"/>
    <s v="PM"/>
    <x v="2"/>
  </r>
  <r>
    <d v="2026-06-05T00:00:00"/>
    <x v="63"/>
    <s v="PM"/>
    <x v="2"/>
  </r>
  <r>
    <d v="2026-06-05T00:00:00"/>
    <x v="64"/>
    <s v="PM"/>
    <x v="2"/>
  </r>
  <r>
    <d v="2026-06-05T00:00:00"/>
    <x v="65"/>
    <s v="PM"/>
    <x v="2"/>
  </r>
  <r>
    <d v="2026-06-05T00:00:00"/>
    <x v="85"/>
    <s v="PM"/>
    <x v="2"/>
  </r>
  <r>
    <d v="2026-06-05T00:00:00"/>
    <x v="85"/>
    <s v="PM"/>
    <x v="2"/>
  </r>
  <r>
    <d v="2026-06-05T00:00:00"/>
    <x v="66"/>
    <s v="PM"/>
    <x v="2"/>
  </r>
  <r>
    <d v="2026-06-05T00:00:00"/>
    <x v="88"/>
    <s v="PM"/>
    <x v="2"/>
  </r>
  <r>
    <d v="2026-06-05T00:00:00"/>
    <x v="89"/>
    <s v="PM"/>
    <x v="2"/>
  </r>
  <r>
    <d v="2026-06-05T00:00:00"/>
    <x v="90"/>
    <s v="PM"/>
    <x v="2"/>
  </r>
  <r>
    <d v="2026-06-05T00:00:00"/>
    <x v="69"/>
    <s v="PM"/>
    <x v="2"/>
  </r>
  <r>
    <d v="2026-06-05T00:00:00"/>
    <x v="69"/>
    <s v="PM"/>
    <x v="2"/>
  </r>
  <r>
    <d v="2026-06-05T00:00:00"/>
    <x v="71"/>
    <s v="PM"/>
    <x v="2"/>
  </r>
  <r>
    <d v="2026-06-05T00:00:00"/>
    <x v="68"/>
    <s v="PM"/>
    <x v="2"/>
  </r>
  <r>
    <d v="2026-06-05T00:00:00"/>
    <x v="93"/>
    <s v="PM"/>
    <x v="2"/>
  </r>
  <r>
    <d v="2026-06-05T00:00:00"/>
    <x v="94"/>
    <s v="PM"/>
    <x v="2"/>
  </r>
  <r>
    <d v="2026-06-05T00:00:00"/>
    <x v="94"/>
    <s v="PM"/>
    <x v="2"/>
  </r>
  <r>
    <d v="2026-06-05T00:00:00"/>
    <x v="97"/>
    <s v="PM"/>
    <x v="3"/>
  </r>
  <r>
    <d v="2026-06-05T00:00:00"/>
    <x v="98"/>
    <s v="PM"/>
    <x v="3"/>
  </r>
  <r>
    <d v="2026-06-05T00:00:00"/>
    <x v="99"/>
    <s v="PM"/>
    <x v="3"/>
  </r>
  <r>
    <d v="2026-06-05T00:00:00"/>
    <x v="100"/>
    <s v="PM"/>
    <x v="3"/>
  </r>
  <r>
    <d v="2026-06-05T00:00:00"/>
    <x v="101"/>
    <s v="PM"/>
    <x v="3"/>
  </r>
  <r>
    <d v="2026-06-05T00:00:00"/>
    <x v="130"/>
    <s v="AM"/>
    <x v="4"/>
  </r>
  <r>
    <d v="2026-06-05T00:00:00"/>
    <x v="169"/>
    <s v="AM"/>
    <x v="5"/>
  </r>
  <r>
    <d v="2026-06-05T00:00:00"/>
    <x v="117"/>
    <s v="AM"/>
    <x v="6"/>
  </r>
  <r>
    <d v="2026-06-05T00:00:00"/>
    <x v="119"/>
    <s v="AM"/>
    <x v="6"/>
  </r>
  <r>
    <d v="2026-06-05T00:00:00"/>
    <x v="121"/>
    <s v="AM"/>
    <x v="6"/>
  </r>
  <r>
    <d v="2026-06-05T00:00:00"/>
    <x v="170"/>
    <s v="AM"/>
    <x v="6"/>
  </r>
  <r>
    <d v="2026-06-05T00:00:00"/>
    <x v="123"/>
    <s v="AM"/>
    <x v="6"/>
  </r>
  <r>
    <d v="2026-06-05T00:00:00"/>
    <x v="127"/>
    <s v="AM"/>
    <x v="6"/>
  </r>
  <r>
    <d v="2026-06-05T00:00:00"/>
    <x v="104"/>
    <s v="AM"/>
    <x v="7"/>
  </r>
  <r>
    <d v="2026-06-05T00:00:00"/>
    <x v="110"/>
    <s v="AM"/>
    <x v="7"/>
  </r>
  <r>
    <d v="2026-06-05T00:00:00"/>
    <x v="105"/>
    <s v="AM"/>
    <x v="7"/>
  </r>
  <r>
    <d v="2026-06-05T00:00:00"/>
    <x v="103"/>
    <s v="AM"/>
    <x v="7"/>
  </r>
  <r>
    <d v="2026-06-05T00:00:00"/>
    <x v="112"/>
    <s v="DAY"/>
    <x v="7"/>
  </r>
  <r>
    <d v="2026-06-05T00:00:00"/>
    <x v="106"/>
    <s v="AM"/>
    <x v="7"/>
  </r>
  <r>
    <d v="2026-06-05T00:00:00"/>
    <x v="113"/>
    <s v="AM"/>
    <x v="7"/>
  </r>
  <r>
    <d v="2026-06-05T00:00:00"/>
    <x v="114"/>
    <s v="DAY"/>
    <x v="7"/>
  </r>
  <r>
    <d v="2026-06-05T00:00:00"/>
    <x v="115"/>
    <s v="AM"/>
    <x v="7"/>
  </r>
  <r>
    <d v="2026-06-05T00:00:00"/>
    <x v="116"/>
    <s v="AM"/>
    <x v="7"/>
  </r>
  <r>
    <d v="2026-06-05T00:00:00"/>
    <x v="120"/>
    <s v="AM"/>
    <x v="7"/>
  </r>
  <r>
    <d v="2026-06-05T00:00:00"/>
    <x v="122"/>
    <s v="AM"/>
    <x v="7"/>
  </r>
  <r>
    <d v="2026-06-05T00:00:00"/>
    <x v="108"/>
    <s v="AM"/>
    <x v="7"/>
  </r>
  <r>
    <d v="2026-06-05T00:00:00"/>
    <x v="102"/>
    <s v="AM"/>
    <x v="7"/>
  </r>
  <r>
    <d v="2026-06-05T00:00:00"/>
    <x v="109"/>
    <s v="AM"/>
    <x v="7"/>
  </r>
  <r>
    <d v="2026-06-05T00:00:00"/>
    <x v="124"/>
    <s v="AM"/>
    <x v="7"/>
  </r>
  <r>
    <d v="2026-06-05T00:00:00"/>
    <x v="126"/>
    <s v="AM"/>
    <x v="7"/>
  </r>
  <r>
    <d v="2026-06-05T00:00:00"/>
    <x v="128"/>
    <s v="AM"/>
    <x v="7"/>
  </r>
  <r>
    <d v="2026-06-05T00:00:00"/>
    <x v="129"/>
    <s v="AM"/>
    <x v="7"/>
  </r>
  <r>
    <d v="2026-06-05T00:00:00"/>
    <x v="141"/>
    <s v="PM"/>
    <x v="4"/>
  </r>
  <r>
    <d v="2026-06-05T00:00:00"/>
    <x v="171"/>
    <s v="PM"/>
    <x v="5"/>
  </r>
  <r>
    <d v="2026-06-05T00:00:00"/>
    <x v="74"/>
    <s v="PM"/>
    <x v="6"/>
  </r>
  <r>
    <d v="2026-06-05T00:00:00"/>
    <x v="134"/>
    <s v="PM"/>
    <x v="6"/>
  </r>
  <r>
    <d v="2026-06-05T00:00:00"/>
    <x v="143"/>
    <s v="PM"/>
    <x v="6"/>
  </r>
  <r>
    <d v="2026-06-05T00:00:00"/>
    <x v="137"/>
    <s v="PM"/>
    <x v="6"/>
  </r>
  <r>
    <d v="2026-06-05T00:00:00"/>
    <x v="147"/>
    <s v="PM"/>
    <x v="6"/>
  </r>
  <r>
    <d v="2026-06-05T00:00:00"/>
    <x v="139"/>
    <s v="PM"/>
    <x v="6"/>
  </r>
  <r>
    <d v="2026-06-05T00:00:00"/>
    <x v="151"/>
    <s v="PM"/>
    <x v="6"/>
  </r>
  <r>
    <d v="2026-06-05T00:00:00"/>
    <x v="152"/>
    <s v="PM"/>
    <x v="6"/>
  </r>
  <r>
    <d v="2026-06-05T00:00:00"/>
    <x v="155"/>
    <s v="PM"/>
    <x v="6"/>
  </r>
  <r>
    <d v="2026-06-05T00:00:00"/>
    <x v="135"/>
    <s v="PM"/>
    <x v="7"/>
  </r>
  <r>
    <d v="2026-06-05T00:00:00"/>
    <x v="142"/>
    <s v="PM"/>
    <x v="7"/>
  </r>
  <r>
    <d v="2026-06-05T00:00:00"/>
    <x v="132"/>
    <s v="PM"/>
    <x v="7"/>
  </r>
  <r>
    <d v="2026-06-05T00:00:00"/>
    <x v="136"/>
    <s v="PM"/>
    <x v="7"/>
  </r>
  <r>
    <d v="2026-06-05T00:00:00"/>
    <x v="144"/>
    <s v="PM"/>
    <x v="7"/>
  </r>
  <r>
    <d v="2026-06-05T00:00:00"/>
    <x v="145"/>
    <s v="PM"/>
    <x v="7"/>
  </r>
  <r>
    <d v="2026-06-05T00:00:00"/>
    <x v="146"/>
    <s v="PM"/>
    <x v="7"/>
  </r>
  <r>
    <d v="2026-06-05T00:00:00"/>
    <x v="138"/>
    <s v="PM"/>
    <x v="7"/>
  </r>
  <r>
    <d v="2026-06-05T00:00:00"/>
    <x v="148"/>
    <s v="PM"/>
    <x v="7"/>
  </r>
  <r>
    <d v="2026-06-05T00:00:00"/>
    <x v="149"/>
    <s v="PM"/>
    <x v="7"/>
  </r>
  <r>
    <d v="2026-06-05T00:00:00"/>
    <x v="140"/>
    <s v="PM"/>
    <x v="7"/>
  </r>
  <r>
    <d v="2026-06-05T00:00:00"/>
    <x v="131"/>
    <s v="PM"/>
    <x v="7"/>
  </r>
  <r>
    <d v="2026-06-05T00:00:00"/>
    <x v="157"/>
    <s v="AM"/>
    <x v="0"/>
  </r>
  <r>
    <d v="2026-06-05T00:00:00"/>
    <x v="158"/>
    <s v="AM"/>
    <x v="0"/>
  </r>
  <r>
    <d v="2026-06-05T00:00:00"/>
    <x v="24"/>
    <s v="MI-TEMPS"/>
    <x v="0"/>
  </r>
  <r>
    <d v="2026-06-05T00:00:00"/>
    <x v="35"/>
    <s v="AM"/>
    <x v="0"/>
  </r>
  <r>
    <d v="2026-06-05T00:00:00"/>
    <x v="159"/>
    <s v="AM"/>
    <x v="0"/>
  </r>
  <r>
    <d v="2026-06-05T00:00:00"/>
    <x v="160"/>
    <s v="AM"/>
    <x v="0"/>
  </r>
  <r>
    <d v="2026-06-05T00:00:00"/>
    <x v="36"/>
    <s v="AM"/>
    <x v="0"/>
  </r>
  <r>
    <d v="2026-06-05T00:00:00"/>
    <x v="38"/>
    <s v="AM"/>
    <x v="0"/>
  </r>
  <r>
    <d v="2026-06-05T00:00:00"/>
    <x v="46"/>
    <s v="MI-TEMPS"/>
    <x v="0"/>
  </r>
  <r>
    <d v="2026-06-05T00:00:00"/>
    <x v="161"/>
    <s v="AM"/>
    <x v="0"/>
  </r>
  <r>
    <d v="2026-06-05T00:00:00"/>
    <x v="0"/>
    <s v="AM"/>
    <x v="1"/>
  </r>
  <r>
    <d v="2026-06-05T00:00:00"/>
    <x v="28"/>
    <s v="AM"/>
    <x v="1"/>
  </r>
  <r>
    <d v="2026-06-05T00:00:00"/>
    <x v="33"/>
    <s v="AM"/>
    <x v="1"/>
  </r>
  <r>
    <d v="2026-06-05T00:00:00"/>
    <x v="48"/>
    <s v="MI-TEMPS"/>
    <x v="1"/>
  </r>
  <r>
    <d v="2026-06-05T00:00:00"/>
    <x v="10"/>
    <s v="AM"/>
    <x v="2"/>
  </r>
  <r>
    <d v="2026-06-05T00:00:00"/>
    <x v="14"/>
    <s v="AM"/>
    <x v="2"/>
  </r>
  <r>
    <d v="2026-06-05T00:00:00"/>
    <x v="16"/>
    <s v="DAY"/>
    <x v="2"/>
  </r>
  <r>
    <d v="2026-06-05T00:00:00"/>
    <x v="17"/>
    <s v="AM"/>
    <x v="2"/>
  </r>
  <r>
    <d v="2026-06-05T00:00:00"/>
    <x v="18"/>
    <s v="AM"/>
    <x v="2"/>
  </r>
  <r>
    <d v="2026-06-05T00:00:00"/>
    <x v="19"/>
    <s v="AM"/>
    <x v="2"/>
  </r>
  <r>
    <d v="2026-06-05T00:00:00"/>
    <x v="20"/>
    <s v="AM"/>
    <x v="2"/>
  </r>
  <r>
    <d v="2026-06-05T00:00:00"/>
    <x v="21"/>
    <s v="AM"/>
    <x v="2"/>
  </r>
  <r>
    <d v="2026-06-05T00:00:00"/>
    <x v="22"/>
    <s v="AM"/>
    <x v="2"/>
  </r>
  <r>
    <d v="2026-06-05T00:00:00"/>
    <x v="1"/>
    <s v="AM"/>
    <x v="2"/>
  </r>
  <r>
    <d v="2026-06-05T00:00:00"/>
    <x v="23"/>
    <s v="AM"/>
    <x v="2"/>
  </r>
  <r>
    <d v="2026-06-05T00:00:00"/>
    <x v="25"/>
    <s v="MI-TEMPS"/>
    <x v="2"/>
  </r>
  <r>
    <d v="2026-06-05T00:00:00"/>
    <x v="27"/>
    <s v="MI-TEMPS"/>
    <x v="2"/>
  </r>
  <r>
    <d v="2026-06-05T00:00:00"/>
    <x v="29"/>
    <s v="AM"/>
    <x v="2"/>
  </r>
  <r>
    <d v="2026-06-05T00:00:00"/>
    <x v="30"/>
    <s v="DAY"/>
    <x v="2"/>
  </r>
  <r>
    <d v="2026-06-05T00:00:00"/>
    <x v="2"/>
    <s v="AM"/>
    <x v="2"/>
  </r>
  <r>
    <d v="2026-06-05T00:00:00"/>
    <x v="31"/>
    <s v="AM"/>
    <x v="2"/>
  </r>
  <r>
    <d v="2026-06-05T00:00:00"/>
    <x v="3"/>
    <s v="AM"/>
    <x v="2"/>
  </r>
  <r>
    <d v="2026-06-05T00:00:00"/>
    <x v="12"/>
    <s v="AM"/>
    <x v="2"/>
  </r>
  <r>
    <d v="2026-06-05T00:00:00"/>
    <x v="37"/>
    <s v="DAY"/>
    <x v="2"/>
  </r>
  <r>
    <d v="2026-06-05T00:00:00"/>
    <x v="39"/>
    <s v="AM"/>
    <x v="2"/>
  </r>
  <r>
    <d v="2026-06-05T00:00:00"/>
    <x v="13"/>
    <s v="AM"/>
    <x v="2"/>
  </r>
  <r>
    <d v="2026-06-05T00:00:00"/>
    <x v="4"/>
    <s v="AM"/>
    <x v="2"/>
  </r>
  <r>
    <d v="2026-06-05T00:00:00"/>
    <x v="41"/>
    <s v="AM"/>
    <x v="2"/>
  </r>
  <r>
    <d v="2026-06-05T00:00:00"/>
    <x v="42"/>
    <s v="MI-TEMPS"/>
    <x v="2"/>
  </r>
  <r>
    <d v="2026-06-05T00:00:00"/>
    <x v="43"/>
    <s v="AM"/>
    <x v="2"/>
  </r>
  <r>
    <d v="2026-06-05T00:00:00"/>
    <x v="44"/>
    <s v="MI-TEMPS"/>
    <x v="2"/>
  </r>
  <r>
    <d v="2026-06-05T00:00:00"/>
    <x v="45"/>
    <s v="DAY"/>
    <x v="2"/>
  </r>
  <r>
    <d v="2026-06-05T00:00:00"/>
    <x v="47"/>
    <s v="AM"/>
    <x v="2"/>
  </r>
  <r>
    <d v="2026-06-05T00:00:00"/>
    <x v="49"/>
    <s v="AM"/>
    <x v="2"/>
  </r>
  <r>
    <d v="2026-06-05T00:00:00"/>
    <x v="50"/>
    <s v="AM"/>
    <x v="2"/>
  </r>
  <r>
    <d v="2026-06-05T00:00:00"/>
    <x v="5"/>
    <s v="AM"/>
    <x v="2"/>
  </r>
  <r>
    <d v="2026-06-05T00:00:00"/>
    <x v="6"/>
    <s v="AM"/>
    <x v="2"/>
  </r>
  <r>
    <d v="2026-06-05T00:00:00"/>
    <x v="8"/>
    <s v="AM"/>
    <x v="2"/>
  </r>
  <r>
    <d v="2026-06-05T00:00:00"/>
    <x v="9"/>
    <s v="AM"/>
    <x v="2"/>
  </r>
  <r>
    <d v="2026-06-05T00:00:00"/>
    <x v="51"/>
    <s v="DAY"/>
    <x v="2"/>
  </r>
  <r>
    <d v="2026-06-05T00:00:00"/>
    <x v="53"/>
    <s v="MI-TEMPS"/>
    <x v="2"/>
  </r>
  <r>
    <d v="2026-06-05T00:00:00"/>
    <x v="54"/>
    <s v="DAY"/>
    <x v="2"/>
  </r>
  <r>
    <d v="2026-06-05T00:00:00"/>
    <x v="56"/>
    <s v="AM"/>
    <x v="3"/>
  </r>
  <r>
    <d v="2026-06-05T00:00:00"/>
    <x v="162"/>
    <s v="AM"/>
    <x v="3"/>
  </r>
  <r>
    <d v="2026-06-05T00:00:00"/>
    <x v="57"/>
    <s v="AM"/>
    <x v="3"/>
  </r>
  <r>
    <d v="2026-06-05T00:00:00"/>
    <x v="40"/>
    <s v="AM"/>
    <x v="3"/>
  </r>
  <r>
    <d v="2026-06-05T00:00:00"/>
    <x v="58"/>
    <s v="AM"/>
    <x v="3"/>
  </r>
  <r>
    <d v="2026-06-05T00:00:00"/>
    <x v="163"/>
    <s v="PM"/>
    <x v="0"/>
  </r>
  <r>
    <d v="2026-06-05T00:00:00"/>
    <x v="59"/>
    <s v="PM"/>
    <x v="0"/>
  </r>
  <r>
    <d v="2026-06-05T00:00:00"/>
    <x v="60"/>
    <s v="PM"/>
    <x v="0"/>
  </r>
  <r>
    <d v="2026-06-05T00:00:00"/>
    <x v="164"/>
    <s v="PM"/>
    <x v="0"/>
  </r>
  <r>
    <d v="2026-06-05T00:00:00"/>
    <x v="66"/>
    <s v="PM"/>
    <x v="0"/>
  </r>
  <r>
    <d v="2026-06-05T00:00:00"/>
    <x v="165"/>
    <s v="PM"/>
    <x v="0"/>
  </r>
  <r>
    <d v="2026-06-05T00:00:00"/>
    <x v="89"/>
    <s v="PM"/>
    <x v="0"/>
  </r>
  <r>
    <d v="2026-06-05T00:00:00"/>
    <x v="166"/>
    <s v="PM"/>
    <x v="0"/>
  </r>
  <r>
    <d v="2026-06-05T00:00:00"/>
    <x v="167"/>
    <s v="PM"/>
    <x v="0"/>
  </r>
  <r>
    <d v="2026-06-05T00:00:00"/>
    <x v="168"/>
    <s v="PM"/>
    <x v="0"/>
  </r>
  <r>
    <d v="2026-06-05T00:00:00"/>
    <x v="73"/>
    <s v="PM"/>
    <x v="1"/>
  </r>
  <r>
    <d v="2026-06-05T00:00:00"/>
    <x v="80"/>
    <s v="PM"/>
    <x v="1"/>
  </r>
  <r>
    <d v="2026-06-05T00:00:00"/>
    <x v="62"/>
    <s v="PM"/>
    <x v="1"/>
  </r>
  <r>
    <d v="2026-06-05T00:00:00"/>
    <x v="94"/>
    <s v="PM"/>
    <x v="1"/>
  </r>
  <r>
    <d v="2026-06-05T00:00:00"/>
    <x v="75"/>
    <s v="PM"/>
    <x v="2"/>
  </r>
  <r>
    <d v="2026-06-05T00:00:00"/>
    <x v="76"/>
    <s v="PM"/>
    <x v="2"/>
  </r>
  <r>
    <d v="2026-06-05T00:00:00"/>
    <x v="78"/>
    <s v="PM"/>
    <x v="2"/>
  </r>
  <r>
    <d v="2026-06-05T00:00:00"/>
    <x v="61"/>
    <s v="PM"/>
    <x v="2"/>
  </r>
  <r>
    <d v="2026-06-05T00:00:00"/>
    <x v="82"/>
    <s v="PM"/>
    <x v="2"/>
  </r>
  <r>
    <d v="2026-06-05T00:00:00"/>
    <x v="83"/>
    <s v="PM"/>
    <x v="2"/>
  </r>
  <r>
    <d v="2026-06-05T00:00:00"/>
    <x v="63"/>
    <s v="PM"/>
    <x v="2"/>
  </r>
  <r>
    <d v="2026-06-05T00:00:00"/>
    <x v="64"/>
    <s v="PM"/>
    <x v="2"/>
  </r>
  <r>
    <d v="2026-06-05T00:00:00"/>
    <x v="65"/>
    <s v="PM"/>
    <x v="2"/>
  </r>
  <r>
    <d v="2026-06-05T00:00:00"/>
    <x v="84"/>
    <s v="PM"/>
    <x v="2"/>
  </r>
  <r>
    <d v="2026-06-05T00:00:00"/>
    <x v="85"/>
    <s v="PM"/>
    <x v="2"/>
  </r>
  <r>
    <d v="2026-06-05T00:00:00"/>
    <x v="85"/>
    <s v="PM"/>
    <x v="2"/>
  </r>
  <r>
    <d v="2026-06-05T00:00:00"/>
    <x v="87"/>
    <s v="PM"/>
    <x v="2"/>
  </r>
  <r>
    <d v="2026-06-05T00:00:00"/>
    <x v="88"/>
    <s v="PM"/>
    <x v="2"/>
  </r>
  <r>
    <d v="2026-06-05T00:00:00"/>
    <x v="90"/>
    <s v="PM"/>
    <x v="2"/>
  </r>
  <r>
    <d v="2026-06-05T00:00:00"/>
    <x v="69"/>
    <s v="PM"/>
    <x v="2"/>
  </r>
  <r>
    <d v="2026-06-05T00:00:00"/>
    <x v="69"/>
    <s v="PM"/>
    <x v="2"/>
  </r>
  <r>
    <d v="2026-06-05T00:00:00"/>
    <x v="91"/>
    <s v="PM"/>
    <x v="2"/>
  </r>
  <r>
    <d v="2026-06-05T00:00:00"/>
    <x v="71"/>
    <s v="PM"/>
    <x v="2"/>
  </r>
  <r>
    <d v="2026-06-05T00:00:00"/>
    <x v="68"/>
    <s v="PM"/>
    <x v="2"/>
  </r>
  <r>
    <d v="2026-06-05T00:00:00"/>
    <x v="92"/>
    <s v="PM"/>
    <x v="2"/>
  </r>
  <r>
    <d v="2026-06-05T00:00:00"/>
    <x v="93"/>
    <s v="PM"/>
    <x v="2"/>
  </r>
  <r>
    <d v="2026-06-05T00:00:00"/>
    <x v="72"/>
    <s v="PM"/>
    <x v="2"/>
  </r>
  <r>
    <d v="2026-06-05T00:00:00"/>
    <x v="94"/>
    <s v="PM"/>
    <x v="2"/>
  </r>
  <r>
    <d v="2026-06-05T00:00:00"/>
    <x v="96"/>
    <s v="PM"/>
    <x v="2"/>
  </r>
  <r>
    <d v="2026-06-05T00:00:00"/>
    <x v="97"/>
    <s v="PM"/>
    <x v="3"/>
  </r>
  <r>
    <d v="2026-06-05T00:00:00"/>
    <x v="98"/>
    <s v="PM"/>
    <x v="3"/>
  </r>
  <r>
    <d v="2026-06-05T00:00:00"/>
    <x v="99"/>
    <s v="PM"/>
    <x v="3"/>
  </r>
  <r>
    <d v="2026-06-05T00:00:00"/>
    <x v="100"/>
    <s v="PM"/>
    <x v="3"/>
  </r>
  <r>
    <d v="2026-06-05T00:00:00"/>
    <x v="101"/>
    <s v="PM"/>
    <x v="3"/>
  </r>
  <r>
    <d v="2026-06-05T00:00:00"/>
    <x v="170"/>
    <s v="AM"/>
    <x v="4"/>
  </r>
  <r>
    <d v="2026-06-05T00:00:00"/>
    <x v="169"/>
    <s v="AM"/>
    <x v="5"/>
  </r>
  <r>
    <d v="2026-06-05T00:00:00"/>
    <x v="104"/>
    <s v="AM"/>
    <x v="6"/>
  </r>
  <r>
    <d v="2026-06-05T00:00:00"/>
    <x v="112"/>
    <s v="DAY"/>
    <x v="6"/>
  </r>
  <r>
    <d v="2026-06-05T00:00:00"/>
    <x v="106"/>
    <s v="AM"/>
    <x v="6"/>
  </r>
  <r>
    <d v="2026-06-05T00:00:00"/>
    <x v="116"/>
    <s v="AM"/>
    <x v="6"/>
  </r>
  <r>
    <d v="2026-06-05T00:00:00"/>
    <x v="122"/>
    <s v="AM"/>
    <x v="6"/>
  </r>
  <r>
    <d v="2026-06-05T00:00:00"/>
    <x v="129"/>
    <s v="AM"/>
    <x v="6"/>
  </r>
  <r>
    <d v="2026-06-05T00:00:00"/>
    <x v="110"/>
    <s v="AM"/>
    <x v="7"/>
  </r>
  <r>
    <d v="2026-06-05T00:00:00"/>
    <x v="105"/>
    <s v="AM"/>
    <x v="7"/>
  </r>
  <r>
    <d v="2026-06-05T00:00:00"/>
    <x v="103"/>
    <s v="AM"/>
    <x v="7"/>
  </r>
  <r>
    <d v="2026-06-05T00:00:00"/>
    <x v="113"/>
    <s v="AM"/>
    <x v="7"/>
  </r>
  <r>
    <d v="2026-06-05T00:00:00"/>
    <x v="114"/>
    <s v="DAY"/>
    <x v="7"/>
  </r>
  <r>
    <d v="2026-06-05T00:00:00"/>
    <x v="115"/>
    <s v="AM"/>
    <x v="7"/>
  </r>
  <r>
    <d v="2026-06-05T00:00:00"/>
    <x v="117"/>
    <s v="AM"/>
    <x v="7"/>
  </r>
  <r>
    <d v="2026-06-05T00:00:00"/>
    <x v="119"/>
    <s v="AM"/>
    <x v="7"/>
  </r>
  <r>
    <d v="2026-06-05T00:00:00"/>
    <x v="120"/>
    <s v="AM"/>
    <x v="7"/>
  </r>
  <r>
    <d v="2026-06-05T00:00:00"/>
    <x v="121"/>
    <s v="AM"/>
    <x v="7"/>
  </r>
  <r>
    <d v="2026-06-05T00:00:00"/>
    <x v="108"/>
    <s v="AM"/>
    <x v="7"/>
  </r>
  <r>
    <d v="2026-06-05T00:00:00"/>
    <x v="102"/>
    <s v="AM"/>
    <x v="7"/>
  </r>
  <r>
    <d v="2026-06-05T00:00:00"/>
    <x v="109"/>
    <s v="AM"/>
    <x v="7"/>
  </r>
  <r>
    <d v="2026-06-05T00:00:00"/>
    <x v="123"/>
    <s v="AM"/>
    <x v="7"/>
  </r>
  <r>
    <d v="2026-06-05T00:00:00"/>
    <x v="124"/>
    <s v="AM"/>
    <x v="7"/>
  </r>
  <r>
    <d v="2026-06-05T00:00:00"/>
    <x v="126"/>
    <s v="AM"/>
    <x v="7"/>
  </r>
  <r>
    <d v="2026-06-05T00:00:00"/>
    <x v="127"/>
    <s v="AM"/>
    <x v="7"/>
  </r>
  <r>
    <d v="2026-06-05T00:00:00"/>
    <x v="128"/>
    <s v="AM"/>
    <x v="7"/>
  </r>
  <r>
    <d v="2026-06-05T00:00:00"/>
    <x v="130"/>
    <s v="AM"/>
    <x v="7"/>
  </r>
  <r>
    <d v="2026-06-05T00:00:00"/>
    <x v="141"/>
    <s v="PM"/>
    <x v="4"/>
  </r>
  <r>
    <d v="2026-06-05T00:00:00"/>
    <x v="131"/>
    <s v="PM"/>
    <x v="5"/>
  </r>
  <r>
    <d v="2026-06-05T00:00:00"/>
    <x v="74"/>
    <s v="PM"/>
    <x v="6"/>
  </r>
  <r>
    <d v="2026-06-05T00:00:00"/>
    <x v="135"/>
    <s v="PM"/>
    <x v="6"/>
  </r>
  <r>
    <d v="2026-06-05T00:00:00"/>
    <x v="142"/>
    <s v="PM"/>
    <x v="6"/>
  </r>
  <r>
    <d v="2026-06-05T00:00:00"/>
    <x v="132"/>
    <s v="PM"/>
    <x v="6"/>
  </r>
  <r>
    <d v="2026-06-05T00:00:00"/>
    <x v="136"/>
    <s v="PM"/>
    <x v="6"/>
  </r>
  <r>
    <d v="2026-06-05T00:00:00"/>
    <x v="144"/>
    <s v="PM"/>
    <x v="6"/>
  </r>
  <r>
    <d v="2026-06-05T00:00:00"/>
    <x v="145"/>
    <s v="PM"/>
    <x v="6"/>
  </r>
  <r>
    <d v="2026-06-05T00:00:00"/>
    <x v="147"/>
    <s v="PM"/>
    <x v="6"/>
  </r>
  <r>
    <d v="2026-06-05T00:00:00"/>
    <x v="171"/>
    <s v="PM"/>
    <x v="6"/>
  </r>
  <r>
    <d v="2026-06-05T00:00:00"/>
    <x v="134"/>
    <s v="PM"/>
    <x v="7"/>
  </r>
  <r>
    <d v="2026-06-05T00:00:00"/>
    <x v="143"/>
    <s v="PM"/>
    <x v="7"/>
  </r>
  <r>
    <d v="2026-06-05T00:00:00"/>
    <x v="137"/>
    <s v="PM"/>
    <x v="7"/>
  </r>
  <r>
    <d v="2026-06-05T00:00:00"/>
    <x v="146"/>
    <s v="PM"/>
    <x v="7"/>
  </r>
  <r>
    <d v="2026-06-05T00:00:00"/>
    <x v="138"/>
    <s v="PM"/>
    <x v="7"/>
  </r>
  <r>
    <d v="2026-06-05T00:00:00"/>
    <x v="148"/>
    <s v="PM"/>
    <x v="7"/>
  </r>
  <r>
    <d v="2026-06-05T00:00:00"/>
    <x v="139"/>
    <s v="PM"/>
    <x v="7"/>
  </r>
  <r>
    <d v="2026-06-05T00:00:00"/>
    <x v="149"/>
    <s v="PM"/>
    <x v="7"/>
  </r>
  <r>
    <d v="2026-06-05T00:00:00"/>
    <x v="151"/>
    <s v="PM"/>
    <x v="7"/>
  </r>
  <r>
    <d v="2026-06-05T00:00:00"/>
    <x v="152"/>
    <s v="PM"/>
    <x v="7"/>
  </r>
  <r>
    <d v="2026-06-05T00:00:00"/>
    <x v="140"/>
    <s v="PM"/>
    <x v="7"/>
  </r>
  <r>
    <d v="2026-06-05T00:00:00"/>
    <x v="155"/>
    <s v="PM"/>
    <x v="7"/>
  </r>
  <r>
    <d v="2026-06-05T00:00:00"/>
    <x v="157"/>
    <s v="AM"/>
    <x v="0"/>
  </r>
  <r>
    <d v="2026-06-05T00:00:00"/>
    <x v="158"/>
    <s v="AM"/>
    <x v="0"/>
  </r>
  <r>
    <d v="2026-06-05T00:00:00"/>
    <x v="1"/>
    <s v="AM"/>
    <x v="0"/>
  </r>
  <r>
    <d v="2026-06-05T00:00:00"/>
    <x v="30"/>
    <s v="DAY"/>
    <x v="0"/>
  </r>
  <r>
    <d v="2026-06-05T00:00:00"/>
    <x v="159"/>
    <s v="AM"/>
    <x v="0"/>
  </r>
  <r>
    <d v="2026-06-05T00:00:00"/>
    <x v="160"/>
    <s v="AM"/>
    <x v="0"/>
  </r>
  <r>
    <d v="2026-06-05T00:00:00"/>
    <x v="43"/>
    <s v="AM"/>
    <x v="0"/>
  </r>
  <r>
    <d v="2026-06-05T00:00:00"/>
    <x v="44"/>
    <s v="MI-TEMPS"/>
    <x v="0"/>
  </r>
  <r>
    <d v="2026-06-05T00:00:00"/>
    <x v="5"/>
    <s v="AM"/>
    <x v="0"/>
  </r>
  <r>
    <d v="2026-06-05T00:00:00"/>
    <x v="161"/>
    <s v="AM"/>
    <x v="0"/>
  </r>
  <r>
    <d v="2026-06-05T00:00:00"/>
    <x v="10"/>
    <s v="AM"/>
    <x v="1"/>
  </r>
  <r>
    <d v="2026-06-05T00:00:00"/>
    <x v="27"/>
    <s v="MI-TEMPS"/>
    <x v="1"/>
  </r>
  <r>
    <d v="2026-06-05T00:00:00"/>
    <x v="12"/>
    <s v="AM"/>
    <x v="1"/>
  </r>
  <r>
    <d v="2026-06-05T00:00:00"/>
    <x v="9"/>
    <s v="AM"/>
    <x v="1"/>
  </r>
  <r>
    <d v="2026-06-05T00:00:00"/>
    <x v="14"/>
    <s v="AM"/>
    <x v="2"/>
  </r>
  <r>
    <d v="2026-06-05T00:00:00"/>
    <x v="0"/>
    <s v="AM"/>
    <x v="2"/>
  </r>
  <r>
    <d v="2026-06-05T00:00:00"/>
    <x v="16"/>
    <s v="DAY"/>
    <x v="2"/>
  </r>
  <r>
    <d v="2026-06-05T00:00:00"/>
    <x v="17"/>
    <s v="AM"/>
    <x v="2"/>
  </r>
  <r>
    <d v="2026-06-05T00:00:00"/>
    <x v="18"/>
    <s v="AM"/>
    <x v="2"/>
  </r>
  <r>
    <d v="2026-06-05T00:00:00"/>
    <x v="19"/>
    <s v="AM"/>
    <x v="2"/>
  </r>
  <r>
    <d v="2026-06-05T00:00:00"/>
    <x v="20"/>
    <s v="AM"/>
    <x v="2"/>
  </r>
  <r>
    <d v="2026-06-05T00:00:00"/>
    <x v="21"/>
    <s v="AM"/>
    <x v="2"/>
  </r>
  <r>
    <d v="2026-06-05T00:00:00"/>
    <x v="22"/>
    <s v="AM"/>
    <x v="2"/>
  </r>
  <r>
    <d v="2026-06-05T00:00:00"/>
    <x v="23"/>
    <s v="AM"/>
    <x v="2"/>
  </r>
  <r>
    <d v="2026-06-05T00:00:00"/>
    <x v="24"/>
    <s v="MI-TEMPS"/>
    <x v="2"/>
  </r>
  <r>
    <d v="2026-06-05T00:00:00"/>
    <x v="25"/>
    <s v="MI-TEMPS"/>
    <x v="2"/>
  </r>
  <r>
    <d v="2026-06-05T00:00:00"/>
    <x v="28"/>
    <s v="AM"/>
    <x v="2"/>
  </r>
  <r>
    <d v="2026-06-05T00:00:00"/>
    <x v="29"/>
    <s v="AM"/>
    <x v="2"/>
  </r>
  <r>
    <d v="2026-06-05T00:00:00"/>
    <x v="2"/>
    <s v="AM"/>
    <x v="2"/>
  </r>
  <r>
    <d v="2026-06-05T00:00:00"/>
    <x v="31"/>
    <s v="AM"/>
    <x v="2"/>
  </r>
  <r>
    <d v="2026-06-05T00:00:00"/>
    <x v="33"/>
    <s v="AM"/>
    <x v="2"/>
  </r>
  <r>
    <d v="2026-06-05T00:00:00"/>
    <x v="3"/>
    <s v="AM"/>
    <x v="2"/>
  </r>
  <r>
    <d v="2026-06-05T00:00:00"/>
    <x v="35"/>
    <s v="AM"/>
    <x v="2"/>
  </r>
  <r>
    <d v="2026-06-05T00:00:00"/>
    <x v="36"/>
    <s v="AM"/>
    <x v="2"/>
  </r>
  <r>
    <d v="2026-06-05T00:00:00"/>
    <x v="37"/>
    <s v="DAY"/>
    <x v="2"/>
  </r>
  <r>
    <d v="2026-06-05T00:00:00"/>
    <x v="38"/>
    <s v="AM"/>
    <x v="2"/>
  </r>
  <r>
    <d v="2026-06-05T00:00:00"/>
    <x v="39"/>
    <s v="AM"/>
    <x v="2"/>
  </r>
  <r>
    <d v="2026-06-05T00:00:00"/>
    <x v="13"/>
    <s v="AM"/>
    <x v="2"/>
  </r>
  <r>
    <d v="2026-06-05T00:00:00"/>
    <x v="4"/>
    <s v="AM"/>
    <x v="2"/>
  </r>
  <r>
    <d v="2026-06-05T00:00:00"/>
    <x v="41"/>
    <s v="AM"/>
    <x v="2"/>
  </r>
  <r>
    <d v="2026-06-05T00:00:00"/>
    <x v="42"/>
    <s v="MI-TEMPS"/>
    <x v="2"/>
  </r>
  <r>
    <d v="2026-06-05T00:00:00"/>
    <x v="45"/>
    <s v="DAY"/>
    <x v="2"/>
  </r>
  <r>
    <d v="2026-06-05T00:00:00"/>
    <x v="46"/>
    <s v="MI-TEMPS"/>
    <x v="2"/>
  </r>
  <r>
    <d v="2026-06-05T00:00:00"/>
    <x v="47"/>
    <s v="AM"/>
    <x v="2"/>
  </r>
  <r>
    <d v="2026-06-05T00:00:00"/>
    <x v="48"/>
    <s v="MI-TEMPS"/>
    <x v="2"/>
  </r>
  <r>
    <d v="2026-06-05T00:00:00"/>
    <x v="49"/>
    <s v="AM"/>
    <x v="2"/>
  </r>
  <r>
    <d v="2026-06-05T00:00:00"/>
    <x v="50"/>
    <s v="AM"/>
    <x v="2"/>
  </r>
  <r>
    <d v="2026-06-05T00:00:00"/>
    <x v="6"/>
    <s v="AM"/>
    <x v="2"/>
  </r>
  <r>
    <d v="2026-06-05T00:00:00"/>
    <x v="8"/>
    <s v="AM"/>
    <x v="2"/>
  </r>
  <r>
    <d v="2026-06-05T00:00:00"/>
    <x v="51"/>
    <s v="DAY"/>
    <x v="2"/>
  </r>
  <r>
    <d v="2026-06-05T00:00:00"/>
    <x v="53"/>
    <s v="MI-TEMPS"/>
    <x v="2"/>
  </r>
  <r>
    <d v="2026-06-05T00:00:00"/>
    <x v="54"/>
    <s v="DAY"/>
    <x v="2"/>
  </r>
  <r>
    <d v="2026-06-05T00:00:00"/>
    <x v="56"/>
    <s v="AM"/>
    <x v="3"/>
  </r>
  <r>
    <d v="2026-06-05T00:00:00"/>
    <x v="162"/>
    <s v="AM"/>
    <x v="3"/>
  </r>
  <r>
    <d v="2026-06-05T00:00:00"/>
    <x v="57"/>
    <s v="AM"/>
    <x v="3"/>
  </r>
  <r>
    <d v="2026-06-05T00:00:00"/>
    <x v="40"/>
    <s v="AM"/>
    <x v="3"/>
  </r>
  <r>
    <d v="2026-06-05T00:00:00"/>
    <x v="58"/>
    <s v="AM"/>
    <x v="3"/>
  </r>
  <r>
    <d v="2026-06-05T00:00:00"/>
    <x v="163"/>
    <s v="PM"/>
    <x v="0"/>
  </r>
  <r>
    <d v="2026-06-05T00:00:00"/>
    <x v="164"/>
    <s v="PM"/>
    <x v="0"/>
  </r>
  <r>
    <d v="2026-06-05T00:00:00"/>
    <x v="82"/>
    <s v="PM"/>
    <x v="0"/>
  </r>
  <r>
    <d v="2026-06-05T00:00:00"/>
    <x v="63"/>
    <s v="PM"/>
    <x v="0"/>
  </r>
  <r>
    <d v="2026-06-05T00:00:00"/>
    <x v="88"/>
    <s v="PM"/>
    <x v="0"/>
  </r>
  <r>
    <d v="2026-06-05T00:00:00"/>
    <x v="165"/>
    <s v="PM"/>
    <x v="0"/>
  </r>
  <r>
    <d v="2026-06-05T00:00:00"/>
    <x v="166"/>
    <s v="PM"/>
    <x v="0"/>
  </r>
  <r>
    <d v="2026-06-05T00:00:00"/>
    <x v="167"/>
    <s v="PM"/>
    <x v="0"/>
  </r>
  <r>
    <d v="2026-06-05T00:00:00"/>
    <x v="168"/>
    <s v="PM"/>
    <x v="0"/>
  </r>
  <r>
    <d v="2026-06-05T00:00:00"/>
    <x v="96"/>
    <s v="PM"/>
    <x v="0"/>
  </r>
  <r>
    <d v="2026-06-05T00:00:00"/>
    <x v="73"/>
    <s v="PM"/>
    <x v="1"/>
  </r>
  <r>
    <d v="2026-06-05T00:00:00"/>
    <x v="89"/>
    <s v="PM"/>
    <x v="1"/>
  </r>
  <r>
    <d v="2026-06-05T00:00:00"/>
    <x v="69"/>
    <s v="PM"/>
    <x v="1"/>
  </r>
  <r>
    <d v="2026-06-05T00:00:00"/>
    <x v="71"/>
    <s v="PM"/>
    <x v="1"/>
  </r>
  <r>
    <d v="2026-06-05T00:00:00"/>
    <x v="59"/>
    <s v="PM"/>
    <x v="2"/>
  </r>
  <r>
    <d v="2026-06-05T00:00:00"/>
    <x v="75"/>
    <s v="PM"/>
    <x v="2"/>
  </r>
  <r>
    <d v="2026-06-05T00:00:00"/>
    <x v="60"/>
    <s v="PM"/>
    <x v="2"/>
  </r>
  <r>
    <d v="2026-06-05T00:00:00"/>
    <x v="76"/>
    <s v="PM"/>
    <x v="2"/>
  </r>
  <r>
    <d v="2026-06-05T00:00:00"/>
    <x v="78"/>
    <s v="PM"/>
    <x v="2"/>
  </r>
  <r>
    <d v="2026-06-05T00:00:00"/>
    <x v="61"/>
    <s v="PM"/>
    <x v="2"/>
  </r>
  <r>
    <d v="2026-06-05T00:00:00"/>
    <x v="80"/>
    <s v="PM"/>
    <x v="2"/>
  </r>
  <r>
    <d v="2026-06-05T00:00:00"/>
    <x v="62"/>
    <s v="PM"/>
    <x v="2"/>
  </r>
  <r>
    <d v="2026-06-05T00:00:00"/>
    <x v="83"/>
    <s v="PM"/>
    <x v="2"/>
  </r>
  <r>
    <d v="2026-06-05T00:00:00"/>
    <x v="64"/>
    <s v="PM"/>
    <x v="2"/>
  </r>
  <r>
    <d v="2026-06-05T00:00:00"/>
    <x v="65"/>
    <s v="PM"/>
    <x v="2"/>
  </r>
  <r>
    <d v="2026-06-05T00:00:00"/>
    <x v="84"/>
    <s v="PM"/>
    <x v="2"/>
  </r>
  <r>
    <d v="2026-06-05T00:00:00"/>
    <x v="85"/>
    <s v="PM"/>
    <x v="2"/>
  </r>
  <r>
    <d v="2026-06-05T00:00:00"/>
    <x v="85"/>
    <s v="PM"/>
    <x v="2"/>
  </r>
  <r>
    <d v="2026-06-05T00:00:00"/>
    <x v="66"/>
    <s v="PM"/>
    <x v="2"/>
  </r>
  <r>
    <d v="2026-06-05T00:00:00"/>
    <x v="87"/>
    <s v="PM"/>
    <x v="2"/>
  </r>
  <r>
    <d v="2026-06-05T00:00:00"/>
    <x v="90"/>
    <s v="PM"/>
    <x v="2"/>
  </r>
  <r>
    <d v="2026-06-05T00:00:00"/>
    <x v="69"/>
    <s v="PM"/>
    <x v="2"/>
  </r>
  <r>
    <d v="2026-06-05T00:00:00"/>
    <x v="91"/>
    <s v="PM"/>
    <x v="2"/>
  </r>
  <r>
    <d v="2026-06-05T00:00:00"/>
    <x v="68"/>
    <s v="PM"/>
    <x v="2"/>
  </r>
  <r>
    <d v="2026-06-05T00:00:00"/>
    <x v="92"/>
    <s v="PM"/>
    <x v="2"/>
  </r>
  <r>
    <d v="2026-06-05T00:00:00"/>
    <x v="93"/>
    <s v="PM"/>
    <x v="2"/>
  </r>
  <r>
    <d v="2026-06-05T00:00:00"/>
    <x v="72"/>
    <s v="PM"/>
    <x v="2"/>
  </r>
  <r>
    <d v="2026-06-05T00:00:00"/>
    <x v="94"/>
    <s v="PM"/>
    <x v="2"/>
  </r>
  <r>
    <d v="2026-06-05T00:00:00"/>
    <x v="94"/>
    <s v="PM"/>
    <x v="2"/>
  </r>
  <r>
    <d v="2026-06-05T00:00:00"/>
    <x v="97"/>
    <s v="PM"/>
    <x v="3"/>
  </r>
  <r>
    <d v="2026-06-05T00:00:00"/>
    <x v="98"/>
    <s v="PM"/>
    <x v="3"/>
  </r>
  <r>
    <d v="2026-06-05T00:00:00"/>
    <x v="99"/>
    <s v="PM"/>
    <x v="3"/>
  </r>
  <r>
    <d v="2026-06-05T00:00:00"/>
    <x v="100"/>
    <s v="PM"/>
    <x v="3"/>
  </r>
  <r>
    <d v="2026-06-05T00:00:00"/>
    <x v="101"/>
    <s v="PM"/>
    <x v="3"/>
  </r>
  <r>
    <d v="2026-06-05T00:00:00"/>
    <x v="103"/>
    <s v="AM"/>
    <x v="4"/>
  </r>
  <r>
    <d v="2026-06-05T00:00:00"/>
    <x v="170"/>
    <s v="AM"/>
    <x v="5"/>
  </r>
  <r>
    <d v="2026-06-05T00:00:00"/>
    <x v="105"/>
    <s v="AM"/>
    <x v="6"/>
  </r>
  <r>
    <d v="2026-06-05T00:00:00"/>
    <x v="169"/>
    <s v="AM"/>
    <x v="6"/>
  </r>
  <r>
    <d v="2026-06-05T00:00:00"/>
    <x v="120"/>
    <s v="AM"/>
    <x v="6"/>
  </r>
  <r>
    <d v="2026-06-05T00:00:00"/>
    <x v="108"/>
    <s v="AM"/>
    <x v="6"/>
  </r>
  <r>
    <d v="2026-06-05T00:00:00"/>
    <x v="102"/>
    <s v="AM"/>
    <x v="6"/>
  </r>
  <r>
    <d v="2026-06-05T00:00:00"/>
    <x v="123"/>
    <s v="AM"/>
    <x v="6"/>
  </r>
  <r>
    <d v="2026-06-05T00:00:00"/>
    <x v="104"/>
    <s v="AM"/>
    <x v="7"/>
  </r>
  <r>
    <d v="2026-06-05T00:00:00"/>
    <x v="110"/>
    <s v="AM"/>
    <x v="7"/>
  </r>
  <r>
    <d v="2026-06-05T00:00:00"/>
    <x v="112"/>
    <s v="DAY"/>
    <x v="7"/>
  </r>
  <r>
    <d v="2026-06-05T00:00:00"/>
    <x v="106"/>
    <s v="AM"/>
    <x v="7"/>
  </r>
  <r>
    <d v="2026-06-05T00:00:00"/>
    <x v="113"/>
    <s v="AM"/>
    <x v="7"/>
  </r>
  <r>
    <d v="2026-06-05T00:00:00"/>
    <x v="114"/>
    <s v="DAY"/>
    <x v="7"/>
  </r>
  <r>
    <d v="2026-06-05T00:00:00"/>
    <x v="115"/>
    <s v="AM"/>
    <x v="7"/>
  </r>
  <r>
    <d v="2026-06-05T00:00:00"/>
    <x v="116"/>
    <s v="AM"/>
    <x v="7"/>
  </r>
  <r>
    <d v="2026-06-05T00:00:00"/>
    <x v="117"/>
    <s v="AM"/>
    <x v="7"/>
  </r>
  <r>
    <d v="2026-06-05T00:00:00"/>
    <x v="119"/>
    <s v="AM"/>
    <x v="7"/>
  </r>
  <r>
    <d v="2026-06-05T00:00:00"/>
    <x v="121"/>
    <s v="AM"/>
    <x v="7"/>
  </r>
  <r>
    <d v="2026-06-05T00:00:00"/>
    <x v="122"/>
    <s v="AM"/>
    <x v="7"/>
  </r>
  <r>
    <d v="2026-06-05T00:00:00"/>
    <x v="109"/>
    <s v="AM"/>
    <x v="7"/>
  </r>
  <r>
    <d v="2026-06-05T00:00:00"/>
    <x v="124"/>
    <s v="AM"/>
    <x v="7"/>
  </r>
  <r>
    <d v="2026-06-05T00:00:00"/>
    <x v="126"/>
    <s v="AM"/>
    <x v="7"/>
  </r>
  <r>
    <d v="2026-06-05T00:00:00"/>
    <x v="127"/>
    <s v="AM"/>
    <x v="7"/>
  </r>
  <r>
    <d v="2026-06-05T00:00:00"/>
    <x v="128"/>
    <s v="AM"/>
    <x v="7"/>
  </r>
  <r>
    <d v="2026-06-05T00:00:00"/>
    <x v="129"/>
    <s v="AM"/>
    <x v="7"/>
  </r>
  <r>
    <d v="2026-06-05T00:00:00"/>
    <x v="130"/>
    <s v="AM"/>
    <x v="7"/>
  </r>
  <r>
    <d v="2026-06-05T00:00:00"/>
    <x v="141"/>
    <s v="PM"/>
    <x v="4"/>
  </r>
  <r>
    <d v="2026-06-05T00:00:00"/>
    <x v="132"/>
    <s v="PM"/>
    <x v="5"/>
  </r>
  <r>
    <d v="2026-06-05T00:00:00"/>
    <x v="74"/>
    <s v="PM"/>
    <x v="6"/>
  </r>
  <r>
    <d v="2026-06-05T00:00:00"/>
    <x v="134"/>
    <s v="PM"/>
    <x v="6"/>
  </r>
  <r>
    <d v="2026-06-05T00:00:00"/>
    <x v="135"/>
    <s v="PM"/>
    <x v="6"/>
  </r>
  <r>
    <d v="2026-06-05T00:00:00"/>
    <x v="143"/>
    <s v="PM"/>
    <x v="6"/>
  </r>
  <r>
    <d v="2026-06-05T00:00:00"/>
    <x v="137"/>
    <s v="PM"/>
    <x v="6"/>
  </r>
  <r>
    <d v="2026-06-05T00:00:00"/>
    <x v="138"/>
    <s v="PM"/>
    <x v="6"/>
  </r>
  <r>
    <d v="2026-06-05T00:00:00"/>
    <x v="139"/>
    <s v="PM"/>
    <x v="6"/>
  </r>
  <r>
    <d v="2026-06-05T00:00:00"/>
    <x v="171"/>
    <s v="PM"/>
    <x v="6"/>
  </r>
  <r>
    <d v="2026-06-05T00:00:00"/>
    <x v="140"/>
    <s v="PM"/>
    <x v="6"/>
  </r>
  <r>
    <d v="2026-06-05T00:00:00"/>
    <x v="142"/>
    <s v="PM"/>
    <x v="7"/>
  </r>
  <r>
    <d v="2026-06-05T00:00:00"/>
    <x v="136"/>
    <s v="PM"/>
    <x v="7"/>
  </r>
  <r>
    <d v="2026-06-05T00:00:00"/>
    <x v="144"/>
    <s v="PM"/>
    <x v="7"/>
  </r>
  <r>
    <d v="2026-06-05T00:00:00"/>
    <x v="145"/>
    <s v="PM"/>
    <x v="7"/>
  </r>
  <r>
    <d v="2026-06-05T00:00:00"/>
    <x v="146"/>
    <s v="PM"/>
    <x v="7"/>
  </r>
  <r>
    <d v="2026-06-05T00:00:00"/>
    <x v="147"/>
    <s v="PM"/>
    <x v="7"/>
  </r>
  <r>
    <d v="2026-06-05T00:00:00"/>
    <x v="148"/>
    <s v="PM"/>
    <x v="7"/>
  </r>
  <r>
    <d v="2026-06-05T00:00:00"/>
    <x v="149"/>
    <s v="PM"/>
    <x v="7"/>
  </r>
  <r>
    <d v="2026-06-05T00:00:00"/>
    <x v="151"/>
    <s v="PM"/>
    <x v="7"/>
  </r>
  <r>
    <d v="2026-06-05T00:00:00"/>
    <x v="152"/>
    <s v="PM"/>
    <x v="7"/>
  </r>
  <r>
    <d v="2026-06-05T00:00:00"/>
    <x v="155"/>
    <s v="PM"/>
    <x v="7"/>
  </r>
  <r>
    <d v="2026-06-05T00:00:00"/>
    <x v="131"/>
    <s v="PM"/>
    <x v="7"/>
  </r>
  <r>
    <d v="2026-06-05T00:00:00"/>
    <x v="14"/>
    <s v="AM"/>
    <x v="0"/>
  </r>
  <r>
    <d v="2026-06-05T00:00:00"/>
    <x v="157"/>
    <s v="AM"/>
    <x v="0"/>
  </r>
  <r>
    <d v="2026-06-05T00:00:00"/>
    <x v="21"/>
    <s v="AM"/>
    <x v="0"/>
  </r>
  <r>
    <d v="2026-06-05T00:00:00"/>
    <x v="158"/>
    <s v="AM"/>
    <x v="0"/>
  </r>
  <r>
    <d v="2026-06-05T00:00:00"/>
    <x v="27"/>
    <s v="MI-TEMPS"/>
    <x v="0"/>
  </r>
  <r>
    <d v="2026-06-05T00:00:00"/>
    <x v="159"/>
    <s v="AM"/>
    <x v="0"/>
  </r>
  <r>
    <d v="2026-06-05T00:00:00"/>
    <x v="160"/>
    <s v="AM"/>
    <x v="0"/>
  </r>
  <r>
    <d v="2026-06-05T00:00:00"/>
    <x v="39"/>
    <s v="AM"/>
    <x v="0"/>
  </r>
  <r>
    <d v="2026-06-05T00:00:00"/>
    <x v="161"/>
    <s v="AM"/>
    <x v="0"/>
  </r>
  <r>
    <d v="2026-06-05T00:00:00"/>
    <x v="54"/>
    <s v="DAY"/>
    <x v="0"/>
  </r>
  <r>
    <d v="2026-06-05T00:00:00"/>
    <x v="20"/>
    <s v="AM"/>
    <x v="1"/>
  </r>
  <r>
    <d v="2026-06-05T00:00:00"/>
    <x v="13"/>
    <s v="AM"/>
    <x v="1"/>
  </r>
  <r>
    <d v="2026-06-05T00:00:00"/>
    <x v="45"/>
    <s v="DAY"/>
    <x v="1"/>
  </r>
  <r>
    <d v="2026-06-05T00:00:00"/>
    <x v="47"/>
    <s v="AM"/>
    <x v="1"/>
  </r>
  <r>
    <d v="2026-06-05T00:00:00"/>
    <x v="10"/>
    <s v="AM"/>
    <x v="2"/>
  </r>
  <r>
    <d v="2026-06-05T00:00:00"/>
    <x v="0"/>
    <s v="AM"/>
    <x v="2"/>
  </r>
  <r>
    <d v="2026-06-05T00:00:00"/>
    <x v="16"/>
    <s v="DAY"/>
    <x v="2"/>
  </r>
  <r>
    <d v="2026-06-05T00:00:00"/>
    <x v="17"/>
    <s v="AM"/>
    <x v="2"/>
  </r>
  <r>
    <d v="2026-06-05T00:00:00"/>
    <x v="18"/>
    <s v="AM"/>
    <x v="2"/>
  </r>
  <r>
    <d v="2026-06-05T00:00:00"/>
    <x v="19"/>
    <s v="AM"/>
    <x v="2"/>
  </r>
  <r>
    <d v="2026-06-05T00:00:00"/>
    <x v="22"/>
    <s v="AM"/>
    <x v="2"/>
  </r>
  <r>
    <d v="2026-06-05T00:00:00"/>
    <x v="1"/>
    <s v="AM"/>
    <x v="2"/>
  </r>
  <r>
    <d v="2026-06-05T00:00:00"/>
    <x v="23"/>
    <s v="AM"/>
    <x v="2"/>
  </r>
  <r>
    <d v="2026-06-05T00:00:00"/>
    <x v="24"/>
    <s v="MI-TEMPS"/>
    <x v="2"/>
  </r>
  <r>
    <d v="2026-06-05T00:00:00"/>
    <x v="25"/>
    <s v="MI-TEMPS"/>
    <x v="2"/>
  </r>
  <r>
    <d v="2026-06-05T00:00:00"/>
    <x v="28"/>
    <s v="AM"/>
    <x v="2"/>
  </r>
  <r>
    <d v="2026-06-05T00:00:00"/>
    <x v="29"/>
    <s v="AM"/>
    <x v="2"/>
  </r>
  <r>
    <d v="2026-06-05T00:00:00"/>
    <x v="30"/>
    <s v="DAY"/>
    <x v="2"/>
  </r>
  <r>
    <d v="2026-06-05T00:00:00"/>
    <x v="2"/>
    <s v="AM"/>
    <x v="2"/>
  </r>
  <r>
    <d v="2026-06-05T00:00:00"/>
    <x v="31"/>
    <s v="AM"/>
    <x v="2"/>
  </r>
  <r>
    <d v="2026-06-05T00:00:00"/>
    <x v="33"/>
    <s v="AM"/>
    <x v="2"/>
  </r>
  <r>
    <d v="2026-06-05T00:00:00"/>
    <x v="3"/>
    <s v="AM"/>
    <x v="2"/>
  </r>
  <r>
    <d v="2026-06-05T00:00:00"/>
    <x v="12"/>
    <s v="AM"/>
    <x v="2"/>
  </r>
  <r>
    <d v="2026-06-05T00:00:00"/>
    <x v="35"/>
    <s v="AM"/>
    <x v="2"/>
  </r>
  <r>
    <d v="2026-06-05T00:00:00"/>
    <x v="36"/>
    <s v="AM"/>
    <x v="2"/>
  </r>
  <r>
    <d v="2026-06-05T00:00:00"/>
    <x v="37"/>
    <s v="DAY"/>
    <x v="2"/>
  </r>
  <r>
    <d v="2026-06-05T00:00:00"/>
    <x v="38"/>
    <s v="AM"/>
    <x v="2"/>
  </r>
  <r>
    <d v="2026-06-05T00:00:00"/>
    <x v="4"/>
    <s v="AM"/>
    <x v="2"/>
  </r>
  <r>
    <d v="2026-06-05T00:00:00"/>
    <x v="41"/>
    <s v="AM"/>
    <x v="2"/>
  </r>
  <r>
    <d v="2026-06-05T00:00:00"/>
    <x v="42"/>
    <s v="MI-TEMPS"/>
    <x v="2"/>
  </r>
  <r>
    <d v="2026-06-05T00:00:00"/>
    <x v="43"/>
    <s v="AM"/>
    <x v="2"/>
  </r>
  <r>
    <d v="2026-06-05T00:00:00"/>
    <x v="44"/>
    <s v="MI-TEMPS"/>
    <x v="2"/>
  </r>
  <r>
    <d v="2026-06-05T00:00:00"/>
    <x v="46"/>
    <s v="MI-TEMPS"/>
    <x v="2"/>
  </r>
  <r>
    <d v="2026-06-05T00:00:00"/>
    <x v="48"/>
    <s v="MI-TEMPS"/>
    <x v="2"/>
  </r>
  <r>
    <d v="2026-06-05T00:00:00"/>
    <x v="49"/>
    <s v="AM"/>
    <x v="2"/>
  </r>
  <r>
    <d v="2026-06-05T00:00:00"/>
    <x v="50"/>
    <s v="AM"/>
    <x v="2"/>
  </r>
  <r>
    <d v="2026-06-05T00:00:00"/>
    <x v="5"/>
    <s v="AM"/>
    <x v="2"/>
  </r>
  <r>
    <d v="2026-06-05T00:00:00"/>
    <x v="6"/>
    <s v="AM"/>
    <x v="2"/>
  </r>
  <r>
    <d v="2026-06-05T00:00:00"/>
    <x v="8"/>
    <s v="AM"/>
    <x v="2"/>
  </r>
  <r>
    <d v="2026-06-05T00:00:00"/>
    <x v="9"/>
    <s v="AM"/>
    <x v="2"/>
  </r>
  <r>
    <d v="2026-06-05T00:00:00"/>
    <x v="51"/>
    <s v="DAY"/>
    <x v="2"/>
  </r>
  <r>
    <d v="2026-06-05T00:00:00"/>
    <x v="53"/>
    <s v="MI-TEMPS"/>
    <x v="2"/>
  </r>
  <r>
    <d v="2026-06-05T00:00:00"/>
    <x v="56"/>
    <s v="AM"/>
    <x v="3"/>
  </r>
  <r>
    <d v="2026-06-05T00:00:00"/>
    <x v="162"/>
    <s v="AM"/>
    <x v="3"/>
  </r>
  <r>
    <d v="2026-06-05T00:00:00"/>
    <x v="57"/>
    <s v="AM"/>
    <x v="3"/>
  </r>
  <r>
    <d v="2026-06-05T00:00:00"/>
    <x v="40"/>
    <s v="AM"/>
    <x v="3"/>
  </r>
  <r>
    <d v="2026-06-05T00:00:00"/>
    <x v="58"/>
    <s v="AM"/>
    <x v="3"/>
  </r>
  <r>
    <d v="2026-06-05T00:00:00"/>
    <x v="163"/>
    <s v="PM"/>
    <x v="0"/>
  </r>
  <r>
    <d v="2026-06-05T00:00:00"/>
    <x v="76"/>
    <s v="PM"/>
    <x v="0"/>
  </r>
  <r>
    <d v="2026-06-05T00:00:00"/>
    <x v="164"/>
    <s v="PM"/>
    <x v="0"/>
  </r>
  <r>
    <d v="2026-06-05T00:00:00"/>
    <x v="65"/>
    <s v="PM"/>
    <x v="0"/>
  </r>
  <r>
    <d v="2026-06-05T00:00:00"/>
    <x v="165"/>
    <s v="PM"/>
    <x v="0"/>
  </r>
  <r>
    <d v="2026-06-05T00:00:00"/>
    <x v="166"/>
    <s v="PM"/>
    <x v="0"/>
  </r>
  <r>
    <d v="2026-06-05T00:00:00"/>
    <x v="93"/>
    <s v="PM"/>
    <x v="0"/>
  </r>
  <r>
    <d v="2026-06-05T00:00:00"/>
    <x v="94"/>
    <s v="PM"/>
    <x v="0"/>
  </r>
  <r>
    <d v="2026-06-05T00:00:00"/>
    <x v="167"/>
    <s v="PM"/>
    <x v="0"/>
  </r>
  <r>
    <d v="2026-06-05T00:00:00"/>
    <x v="168"/>
    <s v="PM"/>
    <x v="0"/>
  </r>
  <r>
    <d v="2026-06-05T00:00:00"/>
    <x v="60"/>
    <s v="PM"/>
    <x v="1"/>
  </r>
  <r>
    <d v="2026-06-05T00:00:00"/>
    <x v="61"/>
    <s v="PM"/>
    <x v="1"/>
  </r>
  <r>
    <d v="2026-06-05T00:00:00"/>
    <x v="85"/>
    <s v="PM"/>
    <x v="1"/>
  </r>
  <r>
    <d v="2026-06-05T00:00:00"/>
    <x v="87"/>
    <s v="PM"/>
    <x v="1"/>
  </r>
  <r>
    <d v="2026-06-05T00:00:00"/>
    <x v="73"/>
    <s v="PM"/>
    <x v="2"/>
  </r>
  <r>
    <d v="2026-06-05T00:00:00"/>
    <x v="75"/>
    <s v="PM"/>
    <x v="2"/>
  </r>
  <r>
    <d v="2026-06-05T00:00:00"/>
    <x v="78"/>
    <s v="PM"/>
    <x v="2"/>
  </r>
  <r>
    <d v="2026-06-05T00:00:00"/>
    <x v="80"/>
    <s v="PM"/>
    <x v="2"/>
  </r>
  <r>
    <d v="2026-06-05T00:00:00"/>
    <x v="62"/>
    <s v="PM"/>
    <x v="2"/>
  </r>
  <r>
    <d v="2026-06-05T00:00:00"/>
    <x v="82"/>
    <s v="PM"/>
    <x v="2"/>
  </r>
  <r>
    <d v="2026-06-05T00:00:00"/>
    <x v="83"/>
    <s v="PM"/>
    <x v="2"/>
  </r>
  <r>
    <d v="2026-06-05T00:00:00"/>
    <x v="64"/>
    <s v="PM"/>
    <x v="2"/>
  </r>
  <r>
    <d v="2026-06-05T00:00:00"/>
    <x v="84"/>
    <s v="PM"/>
    <x v="2"/>
  </r>
  <r>
    <d v="2026-06-05T00:00:00"/>
    <x v="66"/>
    <s v="PM"/>
    <x v="2"/>
  </r>
  <r>
    <d v="2026-06-05T00:00:00"/>
    <x v="88"/>
    <s v="PM"/>
    <x v="2"/>
  </r>
  <r>
    <d v="2026-06-05T00:00:00"/>
    <x v="89"/>
    <s v="PM"/>
    <x v="2"/>
  </r>
  <r>
    <d v="2026-06-05T00:00:00"/>
    <x v="69"/>
    <s v="PM"/>
    <x v="2"/>
  </r>
  <r>
    <d v="2026-06-05T00:00:00"/>
    <x v="91"/>
    <s v="PM"/>
    <x v="2"/>
  </r>
  <r>
    <d v="2026-06-05T00:00:00"/>
    <x v="71"/>
    <s v="PM"/>
    <x v="2"/>
  </r>
  <r>
    <d v="2026-06-05T00:00:00"/>
    <x v="68"/>
    <s v="PM"/>
    <x v="2"/>
  </r>
  <r>
    <d v="2026-06-05T00:00:00"/>
    <x v="92"/>
    <s v="PM"/>
    <x v="2"/>
  </r>
  <r>
    <d v="2026-06-05T00:00:00"/>
    <x v="72"/>
    <s v="PM"/>
    <x v="2"/>
  </r>
  <r>
    <d v="2026-06-05T00:00:00"/>
    <x v="96"/>
    <s v="PM"/>
    <x v="2"/>
  </r>
  <r>
    <d v="2026-06-05T00:00:00"/>
    <x v="97"/>
    <s v="PM"/>
    <x v="3"/>
  </r>
  <r>
    <d v="2026-06-05T00:00:00"/>
    <x v="98"/>
    <s v="PM"/>
    <x v="3"/>
  </r>
  <r>
    <d v="2026-06-05T00:00:00"/>
    <x v="99"/>
    <s v="PM"/>
    <x v="3"/>
  </r>
  <r>
    <d v="2026-06-05T00:00:00"/>
    <x v="100"/>
    <s v="PM"/>
    <x v="3"/>
  </r>
  <r>
    <d v="2026-06-05T00:00:00"/>
    <x v="101"/>
    <s v="PM"/>
    <x v="3"/>
  </r>
  <r>
    <d v="2026-06-05T00:00:00"/>
    <x v="122"/>
    <s v="AM"/>
    <x v="4"/>
  </r>
  <r>
    <d v="2026-06-05T00:00:00"/>
    <x v="121"/>
    <s v="AM"/>
    <x v="5"/>
  </r>
  <r>
    <d v="2026-06-05T00:00:00"/>
    <x v="113"/>
    <s v="AM"/>
    <x v="6"/>
  </r>
  <r>
    <d v="2026-06-05T00:00:00"/>
    <x v="169"/>
    <s v="AM"/>
    <x v="6"/>
  </r>
  <r>
    <d v="2026-06-05T00:00:00"/>
    <x v="170"/>
    <s v="AM"/>
    <x v="6"/>
  </r>
  <r>
    <d v="2026-06-05T00:00:00"/>
    <x v="124"/>
    <s v="AM"/>
    <x v="6"/>
  </r>
  <r>
    <d v="2026-06-05T00:00:00"/>
    <x v="127"/>
    <s v="AM"/>
    <x v="6"/>
  </r>
  <r>
    <d v="2026-06-05T00:00:00"/>
    <x v="130"/>
    <s v="AM"/>
    <x v="6"/>
  </r>
  <r>
    <d v="2026-06-05T00:00:00"/>
    <x v="104"/>
    <s v="AM"/>
    <x v="7"/>
  </r>
  <r>
    <d v="2026-06-05T00:00:00"/>
    <x v="110"/>
    <s v="AM"/>
    <x v="7"/>
  </r>
  <r>
    <d v="2026-06-05T00:00:00"/>
    <x v="105"/>
    <s v="AM"/>
    <x v="7"/>
  </r>
  <r>
    <d v="2026-06-05T00:00:00"/>
    <x v="103"/>
    <s v="AM"/>
    <x v="7"/>
  </r>
  <r>
    <d v="2026-06-05T00:00:00"/>
    <x v="112"/>
    <s v="DAY"/>
    <x v="7"/>
  </r>
  <r>
    <d v="2026-06-05T00:00:00"/>
    <x v="106"/>
    <s v="AM"/>
    <x v="7"/>
  </r>
  <r>
    <d v="2026-06-05T00:00:00"/>
    <x v="114"/>
    <s v="DAY"/>
    <x v="7"/>
  </r>
  <r>
    <d v="2026-06-05T00:00:00"/>
    <x v="115"/>
    <s v="AM"/>
    <x v="7"/>
  </r>
  <r>
    <d v="2026-06-05T00:00:00"/>
    <x v="116"/>
    <s v="AM"/>
    <x v="7"/>
  </r>
  <r>
    <d v="2026-06-05T00:00:00"/>
    <x v="117"/>
    <s v="AM"/>
    <x v="7"/>
  </r>
  <r>
    <d v="2026-06-05T00:00:00"/>
    <x v="119"/>
    <s v="AM"/>
    <x v="7"/>
  </r>
  <r>
    <d v="2026-06-05T00:00:00"/>
    <x v="120"/>
    <s v="AM"/>
    <x v="7"/>
  </r>
  <r>
    <d v="2026-06-05T00:00:00"/>
    <x v="108"/>
    <s v="AM"/>
    <x v="7"/>
  </r>
  <r>
    <d v="2026-06-05T00:00:00"/>
    <x v="102"/>
    <s v="AM"/>
    <x v="7"/>
  </r>
  <r>
    <d v="2026-06-05T00:00:00"/>
    <x v="109"/>
    <s v="AM"/>
    <x v="7"/>
  </r>
  <r>
    <d v="2026-06-05T00:00:00"/>
    <x v="123"/>
    <s v="AM"/>
    <x v="7"/>
  </r>
  <r>
    <d v="2026-06-05T00:00:00"/>
    <x v="126"/>
    <s v="AM"/>
    <x v="7"/>
  </r>
  <r>
    <d v="2026-06-05T00:00:00"/>
    <x v="128"/>
    <s v="AM"/>
    <x v="7"/>
  </r>
  <r>
    <d v="2026-06-05T00:00:00"/>
    <x v="129"/>
    <s v="AM"/>
    <x v="7"/>
  </r>
  <r>
    <d v="2026-06-05T00:00:00"/>
    <x v="141"/>
    <s v="PM"/>
    <x v="4"/>
  </r>
  <r>
    <d v="2026-06-05T00:00:00"/>
    <x v="148"/>
    <s v="PM"/>
    <x v="5"/>
  </r>
  <r>
    <d v="2026-06-05T00:00:00"/>
    <x v="74"/>
    <s v="PM"/>
    <x v="6"/>
  </r>
  <r>
    <d v="2026-06-05T00:00:00"/>
    <x v="132"/>
    <s v="PM"/>
    <x v="6"/>
  </r>
  <r>
    <d v="2026-06-05T00:00:00"/>
    <x v="136"/>
    <s v="PM"/>
    <x v="6"/>
  </r>
  <r>
    <d v="2026-06-05T00:00:00"/>
    <x v="144"/>
    <s v="PM"/>
    <x v="6"/>
  </r>
  <r>
    <d v="2026-06-05T00:00:00"/>
    <x v="145"/>
    <s v="PM"/>
    <x v="6"/>
  </r>
  <r>
    <d v="2026-06-05T00:00:00"/>
    <x v="146"/>
    <s v="PM"/>
    <x v="6"/>
  </r>
  <r>
    <d v="2026-06-05T00:00:00"/>
    <x v="151"/>
    <s v="PM"/>
    <x v="6"/>
  </r>
  <r>
    <d v="2026-06-05T00:00:00"/>
    <x v="171"/>
    <s v="PM"/>
    <x v="6"/>
  </r>
  <r>
    <d v="2026-06-05T00:00:00"/>
    <x v="155"/>
    <s v="PM"/>
    <x v="6"/>
  </r>
  <r>
    <d v="2026-06-05T00:00:00"/>
    <x v="134"/>
    <s v="PM"/>
    <x v="7"/>
  </r>
  <r>
    <d v="2026-06-05T00:00:00"/>
    <x v="135"/>
    <s v="PM"/>
    <x v="7"/>
  </r>
  <r>
    <d v="2026-06-05T00:00:00"/>
    <x v="142"/>
    <s v="PM"/>
    <x v="7"/>
  </r>
  <r>
    <d v="2026-06-05T00:00:00"/>
    <x v="143"/>
    <s v="PM"/>
    <x v="7"/>
  </r>
  <r>
    <d v="2026-06-05T00:00:00"/>
    <x v="137"/>
    <s v="PM"/>
    <x v="7"/>
  </r>
  <r>
    <d v="2026-06-05T00:00:00"/>
    <x v="138"/>
    <s v="PM"/>
    <x v="7"/>
  </r>
  <r>
    <d v="2026-06-05T00:00:00"/>
    <x v="147"/>
    <s v="PM"/>
    <x v="7"/>
  </r>
  <r>
    <d v="2026-06-05T00:00:00"/>
    <x v="139"/>
    <s v="PM"/>
    <x v="7"/>
  </r>
  <r>
    <d v="2026-06-05T00:00:00"/>
    <x v="149"/>
    <s v="PM"/>
    <x v="7"/>
  </r>
  <r>
    <d v="2026-06-05T00:00:00"/>
    <x v="152"/>
    <s v="PM"/>
    <x v="7"/>
  </r>
  <r>
    <d v="2026-06-05T00:00:00"/>
    <x v="140"/>
    <s v="PM"/>
    <x v="7"/>
  </r>
  <r>
    <d v="2026-06-05T00:00:00"/>
    <x v="131"/>
    <s v="PM"/>
    <x v="7"/>
  </r>
  <r>
    <d v="2026-06-05T00:00:00"/>
    <x v="157"/>
    <s v="AM"/>
    <x v="0"/>
  </r>
  <r>
    <d v="2026-06-05T00:00:00"/>
    <x v="160"/>
    <s v="AM"/>
    <x v="0"/>
  </r>
  <r>
    <d v="2026-06-05T00:00:00"/>
    <x v="37"/>
    <s v="DAY"/>
    <x v="0"/>
  </r>
  <r>
    <d v="2026-06-05T00:00:00"/>
    <x v="41"/>
    <s v="AM"/>
    <x v="0"/>
  </r>
  <r>
    <d v="2026-06-05T00:00:00"/>
    <x v="161"/>
    <s v="AM"/>
    <x v="0"/>
  </r>
  <r>
    <d v="2026-06-05T00:00:00"/>
    <x v="8"/>
    <s v="AM"/>
    <x v="0"/>
  </r>
  <r>
    <d v="2026-06-05T00:00:00"/>
    <x v="158"/>
    <s v="AM"/>
    <x v="1"/>
  </r>
  <r>
    <d v="2026-06-05T00:00:00"/>
    <x v="25"/>
    <s v="MI-TEMPS"/>
    <x v="1"/>
  </r>
  <r>
    <d v="2026-06-05T00:00:00"/>
    <x v="29"/>
    <s v="AM"/>
    <x v="1"/>
  </r>
  <r>
    <d v="2026-06-05T00:00:00"/>
    <x v="159"/>
    <s v="AM"/>
    <x v="1"/>
  </r>
  <r>
    <d v="2026-06-05T00:00:00"/>
    <x v="36"/>
    <s v="AM"/>
    <x v="1"/>
  </r>
  <r>
    <d v="2026-06-05T00:00:00"/>
    <x v="10"/>
    <s v="AM"/>
    <x v="2"/>
  </r>
  <r>
    <d v="2026-06-05T00:00:00"/>
    <x v="14"/>
    <s v="AM"/>
    <x v="2"/>
  </r>
  <r>
    <d v="2026-06-05T00:00:00"/>
    <x v="0"/>
    <s v="AM"/>
    <x v="2"/>
  </r>
  <r>
    <d v="2026-06-05T00:00:00"/>
    <x v="16"/>
    <s v="DAY"/>
    <x v="2"/>
  </r>
  <r>
    <d v="2026-06-05T00:00:00"/>
    <x v="17"/>
    <s v="AM"/>
    <x v="2"/>
  </r>
  <r>
    <d v="2026-06-05T00:00:00"/>
    <x v="18"/>
    <s v="AM"/>
    <x v="2"/>
  </r>
  <r>
    <d v="2026-06-05T00:00:00"/>
    <x v="19"/>
    <s v="AM"/>
    <x v="2"/>
  </r>
  <r>
    <d v="2026-06-05T00:00:00"/>
    <x v="20"/>
    <s v="AM"/>
    <x v="2"/>
  </r>
  <r>
    <d v="2026-06-05T00:00:00"/>
    <x v="21"/>
    <s v="AM"/>
    <x v="2"/>
  </r>
  <r>
    <d v="2026-06-05T00:00:00"/>
    <x v="22"/>
    <s v="AM"/>
    <x v="2"/>
  </r>
  <r>
    <d v="2026-06-05T00:00:00"/>
    <x v="1"/>
    <s v="AM"/>
    <x v="2"/>
  </r>
  <r>
    <d v="2026-06-05T00:00:00"/>
    <x v="23"/>
    <s v="AM"/>
    <x v="2"/>
  </r>
  <r>
    <d v="2026-06-05T00:00:00"/>
    <x v="24"/>
    <s v="MI-TEMPS"/>
    <x v="2"/>
  </r>
  <r>
    <d v="2026-06-05T00:00:00"/>
    <x v="27"/>
    <s v="MI-TEMPS"/>
    <x v="2"/>
  </r>
  <r>
    <d v="2026-06-05T00:00:00"/>
    <x v="28"/>
    <s v="AM"/>
    <x v="2"/>
  </r>
  <r>
    <d v="2026-06-05T00:00:00"/>
    <x v="30"/>
    <s v="DAY"/>
    <x v="2"/>
  </r>
  <r>
    <d v="2026-06-05T00:00:00"/>
    <x v="2"/>
    <s v="AM"/>
    <x v="2"/>
  </r>
  <r>
    <d v="2026-06-05T00:00:00"/>
    <x v="31"/>
    <s v="AM"/>
    <x v="2"/>
  </r>
  <r>
    <d v="2026-06-05T00:00:00"/>
    <x v="33"/>
    <s v="AM"/>
    <x v="2"/>
  </r>
  <r>
    <d v="2026-06-05T00:00:00"/>
    <x v="3"/>
    <s v="AM"/>
    <x v="2"/>
  </r>
  <r>
    <d v="2026-06-05T00:00:00"/>
    <x v="12"/>
    <s v="AM"/>
    <x v="2"/>
  </r>
  <r>
    <d v="2026-06-05T00:00:00"/>
    <x v="35"/>
    <s v="AM"/>
    <x v="2"/>
  </r>
  <r>
    <d v="2026-06-05T00:00:00"/>
    <x v="38"/>
    <s v="AM"/>
    <x v="2"/>
  </r>
  <r>
    <d v="2026-06-05T00:00:00"/>
    <x v="39"/>
    <s v="AM"/>
    <x v="2"/>
  </r>
  <r>
    <d v="2026-06-05T00:00:00"/>
    <x v="13"/>
    <s v="AM"/>
    <x v="2"/>
  </r>
  <r>
    <d v="2026-06-05T00:00:00"/>
    <x v="4"/>
    <s v="AM"/>
    <x v="2"/>
  </r>
  <r>
    <d v="2026-06-05T00:00:00"/>
    <x v="42"/>
    <s v="MI-TEMPS"/>
    <x v="2"/>
  </r>
  <r>
    <d v="2026-06-05T00:00:00"/>
    <x v="43"/>
    <s v="AM"/>
    <x v="2"/>
  </r>
  <r>
    <d v="2026-06-05T00:00:00"/>
    <x v="44"/>
    <s v="MI-TEMPS"/>
    <x v="2"/>
  </r>
  <r>
    <d v="2026-06-05T00:00:00"/>
    <x v="45"/>
    <s v="DAY"/>
    <x v="2"/>
  </r>
  <r>
    <d v="2026-06-05T00:00:00"/>
    <x v="46"/>
    <s v="MI-TEMPS"/>
    <x v="2"/>
  </r>
  <r>
    <d v="2026-06-05T00:00:00"/>
    <x v="47"/>
    <s v="AM"/>
    <x v="2"/>
  </r>
  <r>
    <d v="2026-06-05T00:00:00"/>
    <x v="48"/>
    <s v="MI-TEMPS"/>
    <x v="2"/>
  </r>
  <r>
    <d v="2026-06-05T00:00:00"/>
    <x v="49"/>
    <s v="AM"/>
    <x v="2"/>
  </r>
  <r>
    <d v="2026-06-05T00:00:00"/>
    <x v="50"/>
    <s v="AM"/>
    <x v="2"/>
  </r>
  <r>
    <d v="2026-06-05T00:00:00"/>
    <x v="5"/>
    <s v="AM"/>
    <x v="2"/>
  </r>
  <r>
    <d v="2026-06-05T00:00:00"/>
    <x v="6"/>
    <s v="AM"/>
    <x v="2"/>
  </r>
  <r>
    <d v="2026-06-05T00:00:00"/>
    <x v="9"/>
    <s v="AM"/>
    <x v="2"/>
  </r>
  <r>
    <d v="2026-06-05T00:00:00"/>
    <x v="51"/>
    <s v="DAY"/>
    <x v="2"/>
  </r>
  <r>
    <d v="2026-06-05T00:00:00"/>
    <x v="53"/>
    <s v="MI-TEMPS"/>
    <x v="2"/>
  </r>
  <r>
    <d v="2026-06-05T00:00:00"/>
    <x v="54"/>
    <s v="DAY"/>
    <x v="2"/>
  </r>
  <r>
    <d v="2026-06-05T00:00:00"/>
    <x v="56"/>
    <s v="AM"/>
    <x v="3"/>
  </r>
  <r>
    <d v="2026-06-05T00:00:00"/>
    <x v="162"/>
    <s v="AM"/>
    <x v="3"/>
  </r>
  <r>
    <d v="2026-06-05T00:00:00"/>
    <x v="57"/>
    <s v="AM"/>
    <x v="3"/>
  </r>
  <r>
    <d v="2026-06-05T00:00:00"/>
    <x v="40"/>
    <s v="AM"/>
    <x v="3"/>
  </r>
  <r>
    <d v="2026-06-05T00:00:00"/>
    <x v="58"/>
    <s v="AM"/>
    <x v="3"/>
  </r>
  <r>
    <d v="2026-06-05T00:00:00"/>
    <x v="163"/>
    <s v="PM"/>
    <x v="0"/>
  </r>
  <r>
    <d v="2026-06-05T00:00:00"/>
    <x v="164"/>
    <s v="PM"/>
    <x v="0"/>
  </r>
  <r>
    <d v="2026-06-05T00:00:00"/>
    <x v="165"/>
    <s v="PM"/>
    <x v="0"/>
  </r>
  <r>
    <d v="2026-06-05T00:00:00"/>
    <x v="166"/>
    <s v="PM"/>
    <x v="0"/>
  </r>
  <r>
    <d v="2026-06-05T00:00:00"/>
    <x v="167"/>
    <s v="PM"/>
    <x v="0"/>
  </r>
  <r>
    <d v="2026-06-05T00:00:00"/>
    <x v="168"/>
    <s v="PM"/>
    <x v="0"/>
  </r>
  <r>
    <d v="2026-06-05T00:00:00"/>
    <x v="78"/>
    <s v="PM"/>
    <x v="1"/>
  </r>
  <r>
    <d v="2026-06-05T00:00:00"/>
    <x v="80"/>
    <s v="PM"/>
    <x v="1"/>
  </r>
  <r>
    <d v="2026-06-05T00:00:00"/>
    <x v="68"/>
    <s v="PM"/>
    <x v="1"/>
  </r>
  <r>
    <d v="2026-06-05T00:00:00"/>
    <x v="94"/>
    <s v="PM"/>
    <x v="1"/>
  </r>
  <r>
    <d v="2026-06-05T00:00:00"/>
    <x v="96"/>
    <s v="PM"/>
    <x v="1"/>
  </r>
  <r>
    <d v="2026-06-05T00:00:00"/>
    <x v="73"/>
    <s v="PM"/>
    <x v="2"/>
  </r>
  <r>
    <d v="2026-06-05T00:00:00"/>
    <x v="75"/>
    <s v="PM"/>
    <x v="2"/>
  </r>
  <r>
    <d v="2026-06-05T00:00:00"/>
    <x v="60"/>
    <s v="PM"/>
    <x v="2"/>
  </r>
  <r>
    <d v="2026-06-05T00:00:00"/>
    <x v="76"/>
    <s v="PM"/>
    <x v="2"/>
  </r>
  <r>
    <d v="2026-06-05T00:00:00"/>
    <x v="61"/>
    <s v="PM"/>
    <x v="2"/>
  </r>
  <r>
    <d v="2026-06-05T00:00:00"/>
    <x v="62"/>
    <s v="PM"/>
    <x v="2"/>
  </r>
  <r>
    <d v="2026-06-05T00:00:00"/>
    <x v="82"/>
    <s v="PM"/>
    <x v="2"/>
  </r>
  <r>
    <d v="2026-06-05T00:00:00"/>
    <x v="83"/>
    <s v="PM"/>
    <x v="2"/>
  </r>
  <r>
    <d v="2026-06-05T00:00:00"/>
    <x v="64"/>
    <s v="PM"/>
    <x v="2"/>
  </r>
  <r>
    <d v="2026-06-05T00:00:00"/>
    <x v="65"/>
    <s v="PM"/>
    <x v="2"/>
  </r>
  <r>
    <d v="2026-06-05T00:00:00"/>
    <x v="84"/>
    <s v="PM"/>
    <x v="2"/>
  </r>
  <r>
    <d v="2026-06-05T00:00:00"/>
    <x v="85"/>
    <s v="PM"/>
    <x v="2"/>
  </r>
  <r>
    <d v="2026-06-05T00:00:00"/>
    <x v="66"/>
    <s v="PM"/>
    <x v="2"/>
  </r>
  <r>
    <d v="2026-06-05T00:00:00"/>
    <x v="87"/>
    <s v="PM"/>
    <x v="2"/>
  </r>
  <r>
    <d v="2026-06-05T00:00:00"/>
    <x v="88"/>
    <s v="PM"/>
    <x v="2"/>
  </r>
  <r>
    <d v="2026-06-05T00:00:00"/>
    <x v="89"/>
    <s v="PM"/>
    <x v="2"/>
  </r>
  <r>
    <d v="2026-06-05T00:00:00"/>
    <x v="69"/>
    <s v="PM"/>
    <x v="2"/>
  </r>
  <r>
    <d v="2026-06-05T00:00:00"/>
    <x v="91"/>
    <s v="PM"/>
    <x v="2"/>
  </r>
  <r>
    <d v="2026-06-05T00:00:00"/>
    <x v="71"/>
    <s v="PM"/>
    <x v="2"/>
  </r>
  <r>
    <d v="2026-06-05T00:00:00"/>
    <x v="92"/>
    <s v="PM"/>
    <x v="2"/>
  </r>
  <r>
    <d v="2026-06-05T00:00:00"/>
    <x v="93"/>
    <s v="PM"/>
    <x v="2"/>
  </r>
  <r>
    <d v="2026-06-05T00:00:00"/>
    <x v="72"/>
    <s v="PM"/>
    <x v="2"/>
  </r>
  <r>
    <d v="2026-06-05T00:00:00"/>
    <x v="97"/>
    <s v="PM"/>
    <x v="3"/>
  </r>
  <r>
    <d v="2026-06-05T00:00:00"/>
    <x v="98"/>
    <s v="PM"/>
    <x v="3"/>
  </r>
  <r>
    <d v="2026-06-05T00:00:00"/>
    <x v="99"/>
    <s v="PM"/>
    <x v="3"/>
  </r>
  <r>
    <d v="2026-06-05T00:00:00"/>
    <x v="100"/>
    <s v="PM"/>
    <x v="3"/>
  </r>
  <r>
    <d v="2026-06-05T00:00:00"/>
    <x v="101"/>
    <s v="PM"/>
    <x v="3"/>
  </r>
  <r>
    <d v="2026-06-05T00:00:00"/>
    <x v="119"/>
    <s v="AM"/>
    <x v="4"/>
  </r>
  <r>
    <d v="2026-06-05T00:00:00"/>
    <x v="120"/>
    <s v="AM"/>
    <x v="5"/>
  </r>
  <r>
    <d v="2026-06-05T00:00:00"/>
    <x v="110"/>
    <s v="AM"/>
    <x v="6"/>
  </r>
  <r>
    <d v="2026-06-05T00:00:00"/>
    <x v="105"/>
    <s v="AM"/>
    <x v="6"/>
  </r>
  <r>
    <d v="2026-06-05T00:00:00"/>
    <x v="103"/>
    <s v="AM"/>
    <x v="6"/>
  </r>
  <r>
    <d v="2026-06-05T00:00:00"/>
    <x v="115"/>
    <s v="AM"/>
    <x v="6"/>
  </r>
  <r>
    <d v="2026-06-05T00:00:00"/>
    <x v="116"/>
    <s v="AM"/>
    <x v="6"/>
  </r>
  <r>
    <d v="2026-06-05T00:00:00"/>
    <x v="169"/>
    <s v="AM"/>
    <x v="6"/>
  </r>
  <r>
    <d v="2026-06-05T00:00:00"/>
    <x v="170"/>
    <s v="AM"/>
    <x v="6"/>
  </r>
  <r>
    <d v="2026-06-05T00:00:00"/>
    <x v="122"/>
    <s v="AM"/>
    <x v="6"/>
  </r>
  <r>
    <d v="2026-06-05T00:00:00"/>
    <x v="108"/>
    <s v="AM"/>
    <x v="6"/>
  </r>
  <r>
    <d v="2026-06-05T00:00:00"/>
    <x v="128"/>
    <s v="AM"/>
    <x v="6"/>
  </r>
  <r>
    <d v="2026-06-05T00:00:00"/>
    <x v="104"/>
    <s v="AM"/>
    <x v="7"/>
  </r>
  <r>
    <d v="2026-06-05T00:00:00"/>
    <x v="112"/>
    <s v="DAY"/>
    <x v="7"/>
  </r>
  <r>
    <d v="2026-06-05T00:00:00"/>
    <x v="106"/>
    <s v="AM"/>
    <x v="7"/>
  </r>
  <r>
    <d v="2026-06-05T00:00:00"/>
    <x v="113"/>
    <s v="AM"/>
    <x v="7"/>
  </r>
  <r>
    <d v="2026-06-05T00:00:00"/>
    <x v="114"/>
    <s v="DAY"/>
    <x v="7"/>
  </r>
  <r>
    <d v="2026-06-05T00:00:00"/>
    <x v="117"/>
    <s v="AM"/>
    <x v="7"/>
  </r>
  <r>
    <d v="2026-06-05T00:00:00"/>
    <x v="121"/>
    <s v="AM"/>
    <x v="7"/>
  </r>
  <r>
    <d v="2026-06-05T00:00:00"/>
    <x v="102"/>
    <s v="AM"/>
    <x v="7"/>
  </r>
  <r>
    <d v="2026-06-05T00:00:00"/>
    <x v="109"/>
    <s v="AM"/>
    <x v="7"/>
  </r>
  <r>
    <d v="2026-06-05T00:00:00"/>
    <x v="123"/>
    <s v="AM"/>
    <x v="7"/>
  </r>
  <r>
    <d v="2026-06-05T00:00:00"/>
    <x v="124"/>
    <s v="AM"/>
    <x v="7"/>
  </r>
  <r>
    <d v="2026-06-05T00:00:00"/>
    <x v="126"/>
    <s v="AM"/>
    <x v="7"/>
  </r>
  <r>
    <d v="2026-06-05T00:00:00"/>
    <x v="127"/>
    <s v="AM"/>
    <x v="7"/>
  </r>
  <r>
    <d v="2026-06-05T00:00:00"/>
    <x v="129"/>
    <s v="AM"/>
    <x v="7"/>
  </r>
  <r>
    <d v="2026-06-05T00:00:00"/>
    <x v="130"/>
    <s v="AM"/>
    <x v="7"/>
  </r>
  <r>
    <d v="2026-06-05T00:00:00"/>
    <x v="141"/>
    <s v="PM"/>
    <x v="4"/>
  </r>
  <r>
    <d v="2026-06-05T00:00:00"/>
    <x v="137"/>
    <s v="PM"/>
    <x v="5"/>
  </r>
  <r>
    <d v="2026-06-05T00:00:00"/>
    <x v="74"/>
    <s v="PM"/>
    <x v="6"/>
  </r>
  <r>
    <d v="2026-06-05T00:00:00"/>
    <x v="135"/>
    <s v="PM"/>
    <x v="6"/>
  </r>
  <r>
    <d v="2026-06-05T00:00:00"/>
    <x v="148"/>
    <s v="PM"/>
    <x v="6"/>
  </r>
  <r>
    <d v="2026-06-05T00:00:00"/>
    <x v="139"/>
    <s v="PM"/>
    <x v="6"/>
  </r>
  <r>
    <d v="2026-06-05T00:00:00"/>
    <x v="149"/>
    <s v="PM"/>
    <x v="6"/>
  </r>
  <r>
    <d v="2026-06-05T00:00:00"/>
    <x v="151"/>
    <s v="PM"/>
    <x v="6"/>
  </r>
  <r>
    <d v="2026-06-05T00:00:00"/>
    <x v="152"/>
    <s v="PM"/>
    <x v="6"/>
  </r>
  <r>
    <d v="2026-06-05T00:00:00"/>
    <x v="171"/>
    <s v="PM"/>
    <x v="6"/>
  </r>
  <r>
    <d v="2026-06-05T00:00:00"/>
    <x v="131"/>
    <s v="PM"/>
    <x v="6"/>
  </r>
  <r>
    <d v="2026-06-05T00:00:00"/>
    <x v="134"/>
    <s v="PM"/>
    <x v="7"/>
  </r>
  <r>
    <d v="2026-06-05T00:00:00"/>
    <x v="142"/>
    <s v="PM"/>
    <x v="7"/>
  </r>
  <r>
    <d v="2026-06-05T00:00:00"/>
    <x v="143"/>
    <s v="PM"/>
    <x v="7"/>
  </r>
  <r>
    <d v="2026-06-05T00:00:00"/>
    <x v="132"/>
    <s v="PM"/>
    <x v="7"/>
  </r>
  <r>
    <d v="2026-06-05T00:00:00"/>
    <x v="136"/>
    <s v="PM"/>
    <x v="7"/>
  </r>
  <r>
    <d v="2026-06-05T00:00:00"/>
    <x v="144"/>
    <s v="PM"/>
    <x v="7"/>
  </r>
  <r>
    <d v="2026-06-05T00:00:00"/>
    <x v="145"/>
    <s v="PM"/>
    <x v="7"/>
  </r>
  <r>
    <d v="2026-06-05T00:00:00"/>
    <x v="146"/>
    <s v="PM"/>
    <x v="7"/>
  </r>
  <r>
    <d v="2026-06-05T00:00:00"/>
    <x v="138"/>
    <s v="PM"/>
    <x v="7"/>
  </r>
  <r>
    <d v="2026-06-05T00:00:00"/>
    <x v="147"/>
    <s v="PM"/>
    <x v="7"/>
  </r>
  <r>
    <d v="2026-06-05T00:00:00"/>
    <x v="140"/>
    <s v="PM"/>
    <x v="7"/>
  </r>
  <r>
    <d v="2026-06-05T00:00:00"/>
    <x v="155"/>
    <s v="PM"/>
    <x v="7"/>
  </r>
  <r>
    <d v="2026-06-05T00:00:00"/>
    <x v="158"/>
    <s v="AM"/>
    <x v="0"/>
  </r>
  <r>
    <d v="2026-06-05T00:00:00"/>
    <x v="29"/>
    <s v="AM"/>
    <x v="0"/>
  </r>
  <r>
    <d v="2026-06-05T00:00:00"/>
    <x v="33"/>
    <s v="AM"/>
    <x v="0"/>
  </r>
  <r>
    <d v="2026-06-05T00:00:00"/>
    <x v="3"/>
    <s v="AM"/>
    <x v="0"/>
  </r>
  <r>
    <d v="2026-06-05T00:00:00"/>
    <x v="159"/>
    <s v="AM"/>
    <x v="0"/>
  </r>
  <r>
    <d v="2026-06-05T00:00:00"/>
    <x v="48"/>
    <s v="MI-TEMPS"/>
    <x v="0"/>
  </r>
  <r>
    <d v="2026-06-05T00:00:00"/>
    <x v="157"/>
    <s v="AM"/>
    <x v="1"/>
  </r>
  <r>
    <d v="2026-06-05T00:00:00"/>
    <x v="23"/>
    <s v="AM"/>
    <x v="1"/>
  </r>
  <r>
    <d v="2026-06-05T00:00:00"/>
    <x v="160"/>
    <s v="AM"/>
    <x v="1"/>
  </r>
  <r>
    <d v="2026-06-05T00:00:00"/>
    <x v="46"/>
    <s v="MI-TEMPS"/>
    <x v="1"/>
  </r>
  <r>
    <d v="2026-06-05T00:00:00"/>
    <x v="161"/>
    <s v="AM"/>
    <x v="1"/>
  </r>
  <r>
    <d v="2026-06-05T00:00:00"/>
    <x v="10"/>
    <s v="AM"/>
    <x v="2"/>
  </r>
  <r>
    <d v="2026-06-05T00:00:00"/>
    <x v="0"/>
    <s v="AM"/>
    <x v="2"/>
  </r>
  <r>
    <d v="2026-06-05T00:00:00"/>
    <x v="16"/>
    <s v="DAY"/>
    <x v="2"/>
  </r>
  <r>
    <d v="2026-06-05T00:00:00"/>
    <x v="17"/>
    <s v="AM"/>
    <x v="2"/>
  </r>
  <r>
    <d v="2026-06-05T00:00:00"/>
    <x v="18"/>
    <s v="AM"/>
    <x v="2"/>
  </r>
  <r>
    <d v="2026-06-05T00:00:00"/>
    <x v="19"/>
    <s v="AM"/>
    <x v="2"/>
  </r>
  <r>
    <d v="2026-06-05T00:00:00"/>
    <x v="20"/>
    <s v="AM"/>
    <x v="2"/>
  </r>
  <r>
    <d v="2026-06-05T00:00:00"/>
    <x v="21"/>
    <s v="AM"/>
    <x v="2"/>
  </r>
  <r>
    <d v="2026-06-05T00:00:00"/>
    <x v="22"/>
    <s v="AM"/>
    <x v="2"/>
  </r>
  <r>
    <d v="2026-06-05T00:00:00"/>
    <x v="1"/>
    <s v="AM"/>
    <x v="2"/>
  </r>
  <r>
    <d v="2026-06-05T00:00:00"/>
    <x v="24"/>
    <s v="MI-TEMPS"/>
    <x v="2"/>
  </r>
  <r>
    <d v="2026-06-05T00:00:00"/>
    <x v="25"/>
    <s v="MI-TEMPS"/>
    <x v="2"/>
  </r>
  <r>
    <d v="2026-06-05T00:00:00"/>
    <x v="27"/>
    <s v="MI-TEMPS"/>
    <x v="2"/>
  </r>
  <r>
    <d v="2026-06-05T00:00:00"/>
    <x v="28"/>
    <s v="AM"/>
    <x v="2"/>
  </r>
  <r>
    <d v="2026-06-05T00:00:00"/>
    <x v="30"/>
    <s v="DAY"/>
    <x v="2"/>
  </r>
  <r>
    <d v="2026-06-05T00:00:00"/>
    <x v="2"/>
    <s v="AM"/>
    <x v="2"/>
  </r>
  <r>
    <d v="2026-06-05T00:00:00"/>
    <x v="31"/>
    <s v="AM"/>
    <x v="2"/>
  </r>
  <r>
    <d v="2026-06-05T00:00:00"/>
    <x v="35"/>
    <s v="AM"/>
    <x v="2"/>
  </r>
  <r>
    <d v="2026-06-05T00:00:00"/>
    <x v="36"/>
    <s v="AM"/>
    <x v="2"/>
  </r>
  <r>
    <d v="2026-06-05T00:00:00"/>
    <x v="37"/>
    <s v="DAY"/>
    <x v="2"/>
  </r>
  <r>
    <d v="2026-06-05T00:00:00"/>
    <x v="38"/>
    <s v="AM"/>
    <x v="2"/>
  </r>
  <r>
    <d v="2026-06-05T00:00:00"/>
    <x v="39"/>
    <s v="AM"/>
    <x v="2"/>
  </r>
  <r>
    <d v="2026-06-05T00:00:00"/>
    <x v="13"/>
    <s v="AM"/>
    <x v="2"/>
  </r>
  <r>
    <d v="2026-06-05T00:00:00"/>
    <x v="4"/>
    <s v="AM"/>
    <x v="2"/>
  </r>
  <r>
    <d v="2026-06-05T00:00:00"/>
    <x v="41"/>
    <s v="AM"/>
    <x v="2"/>
  </r>
  <r>
    <d v="2026-06-05T00:00:00"/>
    <x v="42"/>
    <s v="MI-TEMPS"/>
    <x v="2"/>
  </r>
  <r>
    <d v="2026-06-05T00:00:00"/>
    <x v="43"/>
    <s v="AM"/>
    <x v="2"/>
  </r>
  <r>
    <d v="2026-06-05T00:00:00"/>
    <x v="44"/>
    <s v="MI-TEMPS"/>
    <x v="2"/>
  </r>
  <r>
    <d v="2026-06-05T00:00:00"/>
    <x v="45"/>
    <s v="DAY"/>
    <x v="2"/>
  </r>
  <r>
    <d v="2026-06-05T00:00:00"/>
    <x v="47"/>
    <s v="AM"/>
    <x v="2"/>
  </r>
  <r>
    <d v="2026-06-05T00:00:00"/>
    <x v="49"/>
    <s v="AM"/>
    <x v="2"/>
  </r>
  <r>
    <d v="2026-06-05T00:00:00"/>
    <x v="50"/>
    <s v="AM"/>
    <x v="2"/>
  </r>
  <r>
    <d v="2026-06-05T00:00:00"/>
    <x v="5"/>
    <s v="AM"/>
    <x v="2"/>
  </r>
  <r>
    <d v="2026-06-05T00:00:00"/>
    <x v="6"/>
    <s v="AM"/>
    <x v="2"/>
  </r>
  <r>
    <d v="2026-06-05T00:00:00"/>
    <x v="8"/>
    <s v="AM"/>
    <x v="2"/>
  </r>
  <r>
    <d v="2026-06-05T00:00:00"/>
    <x v="51"/>
    <s v="DAY"/>
    <x v="2"/>
  </r>
  <r>
    <d v="2026-06-05T00:00:00"/>
    <x v="53"/>
    <s v="MI-TEMPS"/>
    <x v="2"/>
  </r>
  <r>
    <d v="2026-06-05T00:00:00"/>
    <x v="54"/>
    <s v="DAY"/>
    <x v="2"/>
  </r>
  <r>
    <d v="2026-06-05T00:00:00"/>
    <x v="56"/>
    <s v="AM"/>
    <x v="3"/>
  </r>
  <r>
    <d v="2026-06-05T00:00:00"/>
    <x v="162"/>
    <s v="AM"/>
    <x v="3"/>
  </r>
  <r>
    <d v="2026-06-05T00:00:00"/>
    <x v="57"/>
    <s v="AM"/>
    <x v="3"/>
  </r>
  <r>
    <d v="2026-06-05T00:00:00"/>
    <x v="40"/>
    <s v="AM"/>
    <x v="3"/>
  </r>
  <r>
    <d v="2026-06-05T00:00:00"/>
    <x v="58"/>
    <s v="AM"/>
    <x v="3"/>
  </r>
  <r>
    <d v="2026-06-05T00:00:00"/>
    <x v="163"/>
    <s v="PM"/>
    <x v="0"/>
  </r>
  <r>
    <d v="2026-06-05T00:00:00"/>
    <x v="164"/>
    <s v="PM"/>
    <x v="0"/>
  </r>
  <r>
    <d v="2026-06-05T00:00:00"/>
    <x v="165"/>
    <s v="PM"/>
    <x v="0"/>
  </r>
  <r>
    <d v="2026-06-05T00:00:00"/>
    <x v="166"/>
    <s v="PM"/>
    <x v="0"/>
  </r>
  <r>
    <d v="2026-06-05T00:00:00"/>
    <x v="167"/>
    <s v="PM"/>
    <x v="0"/>
  </r>
  <r>
    <d v="2026-06-05T00:00:00"/>
    <x v="168"/>
    <s v="PM"/>
    <x v="0"/>
  </r>
  <r>
    <d v="2026-06-05T00:00:00"/>
    <x v="75"/>
    <s v="PM"/>
    <x v="1"/>
  </r>
  <r>
    <d v="2026-06-05T00:00:00"/>
    <x v="62"/>
    <s v="PM"/>
    <x v="1"/>
  </r>
  <r>
    <d v="2026-06-05T00:00:00"/>
    <x v="64"/>
    <s v="PM"/>
    <x v="1"/>
  </r>
  <r>
    <d v="2026-06-05T00:00:00"/>
    <x v="92"/>
    <s v="PM"/>
    <x v="1"/>
  </r>
  <r>
    <d v="2026-06-05T00:00:00"/>
    <x v="93"/>
    <s v="PM"/>
    <x v="1"/>
  </r>
  <r>
    <d v="2026-06-05T00:00:00"/>
    <x v="73"/>
    <s v="PM"/>
    <x v="2"/>
  </r>
  <r>
    <d v="2026-06-05T00:00:00"/>
    <x v="60"/>
    <s v="PM"/>
    <x v="2"/>
  </r>
  <r>
    <d v="2026-06-05T00:00:00"/>
    <x v="76"/>
    <s v="PM"/>
    <x v="2"/>
  </r>
  <r>
    <d v="2026-06-05T00:00:00"/>
    <x v="78"/>
    <s v="PM"/>
    <x v="2"/>
  </r>
  <r>
    <d v="2026-06-05T00:00:00"/>
    <x v="61"/>
    <s v="PM"/>
    <x v="2"/>
  </r>
  <r>
    <d v="2026-06-05T00:00:00"/>
    <x v="80"/>
    <s v="PM"/>
    <x v="2"/>
  </r>
  <r>
    <d v="2026-06-05T00:00:00"/>
    <x v="82"/>
    <s v="PM"/>
    <x v="2"/>
  </r>
  <r>
    <d v="2026-06-05T00:00:00"/>
    <x v="83"/>
    <s v="PM"/>
    <x v="2"/>
  </r>
  <r>
    <d v="2026-06-05T00:00:00"/>
    <x v="65"/>
    <s v="PM"/>
    <x v="2"/>
  </r>
  <r>
    <d v="2026-06-05T00:00:00"/>
    <x v="84"/>
    <s v="PM"/>
    <x v="2"/>
  </r>
  <r>
    <d v="2026-06-05T00:00:00"/>
    <x v="85"/>
    <s v="PM"/>
    <x v="2"/>
  </r>
  <r>
    <d v="2026-06-05T00:00:00"/>
    <x v="66"/>
    <s v="PM"/>
    <x v="2"/>
  </r>
  <r>
    <d v="2026-06-05T00:00:00"/>
    <x v="87"/>
    <s v="PM"/>
    <x v="2"/>
  </r>
  <r>
    <d v="2026-06-05T00:00:00"/>
    <x v="88"/>
    <s v="PM"/>
    <x v="2"/>
  </r>
  <r>
    <d v="2026-06-05T00:00:00"/>
    <x v="89"/>
    <s v="PM"/>
    <x v="2"/>
  </r>
  <r>
    <d v="2026-06-05T00:00:00"/>
    <x v="69"/>
    <s v="PM"/>
    <x v="2"/>
  </r>
  <r>
    <d v="2026-06-05T00:00:00"/>
    <x v="91"/>
    <s v="PM"/>
    <x v="2"/>
  </r>
  <r>
    <d v="2026-06-05T00:00:00"/>
    <x v="71"/>
    <s v="PM"/>
    <x v="2"/>
  </r>
  <r>
    <d v="2026-06-05T00:00:00"/>
    <x v="68"/>
    <s v="PM"/>
    <x v="2"/>
  </r>
  <r>
    <d v="2026-06-05T00:00:00"/>
    <x v="72"/>
    <s v="PM"/>
    <x v="2"/>
  </r>
  <r>
    <d v="2026-06-05T00:00:00"/>
    <x v="94"/>
    <s v="PM"/>
    <x v="2"/>
  </r>
  <r>
    <d v="2026-06-05T00:00:00"/>
    <x v="96"/>
    <s v="PM"/>
    <x v="2"/>
  </r>
  <r>
    <d v="2026-06-05T00:00:00"/>
    <x v="97"/>
    <s v="PM"/>
    <x v="3"/>
  </r>
  <r>
    <d v="2026-06-05T00:00:00"/>
    <x v="98"/>
    <s v="PM"/>
    <x v="3"/>
  </r>
  <r>
    <d v="2026-06-05T00:00:00"/>
    <x v="99"/>
    <s v="PM"/>
    <x v="3"/>
  </r>
  <r>
    <d v="2026-06-05T00:00:00"/>
    <x v="100"/>
    <s v="PM"/>
    <x v="3"/>
  </r>
  <r>
    <d v="2026-06-05T00:00:00"/>
    <x v="101"/>
    <s v="PM"/>
    <x v="3"/>
  </r>
  <r>
    <d v="2026-06-05T00:00:00"/>
    <x v="117"/>
    <s v="AM"/>
    <x v="4"/>
  </r>
  <r>
    <d v="2026-06-05T00:00:00"/>
    <x v="115"/>
    <s v="AM"/>
    <x v="5"/>
  </r>
  <r>
    <d v="2026-06-05T00:00:00"/>
    <x v="104"/>
    <s v="AM"/>
    <x v="6"/>
  </r>
  <r>
    <d v="2026-06-05T00:00:00"/>
    <x v="110"/>
    <s v="AM"/>
    <x v="6"/>
  </r>
  <r>
    <d v="2026-06-05T00:00:00"/>
    <x v="113"/>
    <s v="AM"/>
    <x v="6"/>
  </r>
  <r>
    <d v="2026-06-05T00:00:00"/>
    <x v="114"/>
    <s v="DAY"/>
    <x v="6"/>
  </r>
  <r>
    <d v="2026-06-05T00:00:00"/>
    <x v="169"/>
    <s v="AM"/>
    <x v="6"/>
  </r>
  <r>
    <d v="2026-06-05T00:00:00"/>
    <x v="121"/>
    <s v="AM"/>
    <x v="6"/>
  </r>
  <r>
    <d v="2026-06-05T00:00:00"/>
    <x v="170"/>
    <s v="AM"/>
    <x v="6"/>
  </r>
  <r>
    <d v="2026-06-05T00:00:00"/>
    <x v="102"/>
    <s v="AM"/>
    <x v="6"/>
  </r>
  <r>
    <d v="2026-06-05T00:00:00"/>
    <x v="109"/>
    <s v="AM"/>
    <x v="6"/>
  </r>
  <r>
    <d v="2026-06-05T00:00:00"/>
    <x v="126"/>
    <s v="AM"/>
    <x v="6"/>
  </r>
  <r>
    <d v="2026-06-05T00:00:00"/>
    <x v="105"/>
    <s v="AM"/>
    <x v="7"/>
  </r>
  <r>
    <d v="2026-06-05T00:00:00"/>
    <x v="103"/>
    <s v="AM"/>
    <x v="7"/>
  </r>
  <r>
    <d v="2026-06-05T00:00:00"/>
    <x v="112"/>
    <s v="DAY"/>
    <x v="7"/>
  </r>
  <r>
    <d v="2026-06-05T00:00:00"/>
    <x v="116"/>
    <s v="AM"/>
    <x v="7"/>
  </r>
  <r>
    <d v="2026-06-05T00:00:00"/>
    <x v="119"/>
    <s v="AM"/>
    <x v="7"/>
  </r>
  <r>
    <d v="2026-06-05T00:00:00"/>
    <x v="120"/>
    <s v="AM"/>
    <x v="7"/>
  </r>
  <r>
    <d v="2026-06-05T00:00:00"/>
    <x v="122"/>
    <s v="AM"/>
    <x v="7"/>
  </r>
  <r>
    <d v="2026-06-05T00:00:00"/>
    <x v="108"/>
    <s v="AM"/>
    <x v="7"/>
  </r>
  <r>
    <d v="2026-06-05T00:00:00"/>
    <x v="123"/>
    <s v="AM"/>
    <x v="7"/>
  </r>
  <r>
    <d v="2026-06-05T00:00:00"/>
    <x v="141"/>
    <s v="PM"/>
    <x v="4"/>
  </r>
  <r>
    <d v="2026-06-05T00:00:00"/>
    <x v="151"/>
    <s v="PM"/>
    <x v="5"/>
  </r>
  <r>
    <d v="2026-06-05T00:00:00"/>
    <x v="74"/>
    <s v="PM"/>
    <x v="6"/>
  </r>
  <r>
    <d v="2026-06-05T00:00:00"/>
    <x v="144"/>
    <s v="PM"/>
    <x v="6"/>
  </r>
  <r>
    <d v="2026-06-05T00:00:00"/>
    <x v="137"/>
    <s v="PM"/>
    <x v="6"/>
  </r>
  <r>
    <d v="2026-06-05T00:00:00"/>
    <x v="146"/>
    <s v="PM"/>
    <x v="6"/>
  </r>
  <r>
    <d v="2026-06-05T00:00:00"/>
    <x v="138"/>
    <s v="PM"/>
    <x v="6"/>
  </r>
  <r>
    <d v="2026-06-05T00:00:00"/>
    <x v="147"/>
    <s v="PM"/>
    <x v="6"/>
  </r>
  <r>
    <d v="2026-06-05T00:00:00"/>
    <x v="149"/>
    <s v="PM"/>
    <x v="6"/>
  </r>
  <r>
    <d v="2026-06-05T00:00:00"/>
    <x v="171"/>
    <s v="PM"/>
    <x v="6"/>
  </r>
  <r>
    <d v="2026-06-05T00:00:00"/>
    <x v="155"/>
    <s v="PM"/>
    <x v="6"/>
  </r>
  <r>
    <d v="2026-06-05T00:00:00"/>
    <x v="134"/>
    <s v="PM"/>
    <x v="7"/>
  </r>
  <r>
    <d v="2026-06-05T00:00:00"/>
    <x v="135"/>
    <s v="PM"/>
    <x v="7"/>
  </r>
  <r>
    <d v="2026-06-05T00:00:00"/>
    <x v="142"/>
    <s v="PM"/>
    <x v="7"/>
  </r>
  <r>
    <d v="2026-06-05T00:00:00"/>
    <x v="143"/>
    <s v="PM"/>
    <x v="7"/>
  </r>
  <r>
    <d v="2026-06-05T00:00:00"/>
    <x v="132"/>
    <s v="PM"/>
    <x v="7"/>
  </r>
  <r>
    <d v="2026-06-05T00:00:00"/>
    <x v="136"/>
    <s v="PM"/>
    <x v="7"/>
  </r>
  <r>
    <d v="2026-06-05T00:00:00"/>
    <x v="145"/>
    <s v="PM"/>
    <x v="7"/>
  </r>
  <r>
    <d v="2026-06-05T00:00:00"/>
    <x v="148"/>
    <s v="PM"/>
    <x v="7"/>
  </r>
  <r>
    <d v="2026-06-05T00:00:00"/>
    <x v="139"/>
    <s v="PM"/>
    <x v="7"/>
  </r>
  <r>
    <d v="2026-06-05T00:00:00"/>
    <x v="152"/>
    <s v="PM"/>
    <x v="7"/>
  </r>
  <r>
    <d v="2026-06-05T00:00:00"/>
    <x v="140"/>
    <s v="PM"/>
    <x v="7"/>
  </r>
  <r>
    <d v="2026-06-05T00:00:00"/>
    <x v="131"/>
    <s v="PM"/>
    <x v="7"/>
  </r>
  <r>
    <m/>
    <x v="172"/>
    <m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2EF477-0373-4335-B3FF-9D9B97AE78DD}" name="PivotTable1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L178" firstHeaderRow="1" firstDataRow="2" firstDataCol="1"/>
  <pivotFields count="4">
    <pivotField showAll="0"/>
    <pivotField axis="axisRow" showAll="0">
      <items count="174">
        <item x="10"/>
        <item x="14"/>
        <item x="55"/>
        <item x="0"/>
        <item x="73"/>
        <item x="74"/>
        <item x="15"/>
        <item x="16"/>
        <item x="133"/>
        <item x="59"/>
        <item x="134"/>
        <item x="135"/>
        <item x="17"/>
        <item x="104"/>
        <item x="110"/>
        <item x="142"/>
        <item x="18"/>
        <item x="105"/>
        <item x="19"/>
        <item x="111"/>
        <item x="143"/>
        <item x="20"/>
        <item x="75"/>
        <item x="56"/>
        <item x="21"/>
        <item x="60"/>
        <item x="76"/>
        <item x="103"/>
        <item x="112"/>
        <item x="106"/>
        <item x="77"/>
        <item x="78"/>
        <item x="22"/>
        <item x="132"/>
        <item x="79"/>
        <item x="1"/>
        <item x="23"/>
        <item x="61"/>
        <item x="24"/>
        <item x="25"/>
        <item x="26"/>
        <item x="136"/>
        <item x="113"/>
        <item x="11"/>
        <item x="114"/>
        <item x="80"/>
        <item x="97"/>
        <item x="81"/>
        <item x="27"/>
        <item x="28"/>
        <item x="115"/>
        <item x="29"/>
        <item x="30"/>
        <item x="62"/>
        <item x="98"/>
        <item x="144"/>
        <item x="2"/>
        <item x="31"/>
        <item x="116"/>
        <item x="145"/>
        <item x="82"/>
        <item x="137"/>
        <item x="32"/>
        <item x="83"/>
        <item x="146"/>
        <item x="138"/>
        <item x="117"/>
        <item x="118"/>
        <item x="33"/>
        <item x="3"/>
        <item x="34"/>
        <item x="63"/>
        <item x="147"/>
        <item x="148"/>
        <item x="139"/>
        <item x="149"/>
        <item x="12"/>
        <item x="64"/>
        <item x="150"/>
        <item x="119"/>
        <item x="65"/>
        <item x="151"/>
        <item x="99"/>
        <item x="35"/>
        <item x="84"/>
        <item x="100"/>
        <item x="120"/>
        <item x="85"/>
        <item x="86"/>
        <item x="36"/>
        <item x="37"/>
        <item x="57"/>
        <item x="66"/>
        <item x="38"/>
        <item x="152"/>
        <item x="87"/>
        <item x="88"/>
        <item x="39"/>
        <item x="121"/>
        <item x="89"/>
        <item x="90"/>
        <item x="69"/>
        <item x="40"/>
        <item x="101"/>
        <item x="13"/>
        <item x="91"/>
        <item x="4"/>
        <item x="58"/>
        <item x="67"/>
        <item x="41"/>
        <item x="70"/>
        <item x="42"/>
        <item x="43"/>
        <item x="44"/>
        <item x="140"/>
        <item x="45"/>
        <item x="107"/>
        <item x="71"/>
        <item x="122"/>
        <item x="46"/>
        <item x="47"/>
        <item x="108"/>
        <item x="102"/>
        <item x="48"/>
        <item x="68"/>
        <item x="92"/>
        <item x="49"/>
        <item x="50"/>
        <item x="93"/>
        <item x="72"/>
        <item x="109"/>
        <item x="123"/>
        <item x="5"/>
        <item x="6"/>
        <item x="7"/>
        <item x="8"/>
        <item x="153"/>
        <item x="124"/>
        <item x="94"/>
        <item x="9"/>
        <item x="154"/>
        <item x="51"/>
        <item x="52"/>
        <item x="125"/>
        <item x="126"/>
        <item x="53"/>
        <item x="127"/>
        <item x="141"/>
        <item x="155"/>
        <item x="95"/>
        <item x="156"/>
        <item x="128"/>
        <item x="96"/>
        <item x="131"/>
        <item x="129"/>
        <item x="54"/>
        <item x="130"/>
        <item x="172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t="default"/>
      </items>
    </pivotField>
    <pivotField showAll="0"/>
    <pivotField axis="axisCol" dataField="1" showAll="0">
      <items count="11">
        <item x="6"/>
        <item x="5"/>
        <item x="0"/>
        <item x="7"/>
        <item x="4"/>
        <item x="3"/>
        <item x="2"/>
        <item x="1"/>
        <item x="9"/>
        <item x="8"/>
        <item t="default"/>
      </items>
    </pivotField>
  </pivotFields>
  <rowFields count="1">
    <field x="1"/>
  </rowFields>
  <rowItems count="17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 t="grand">
      <x/>
    </i>
  </rowItems>
  <colFields count="1">
    <field x="3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Count of Role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9BB20A-5E07-4183-B8FD-04F5BF167820}" name="Table3" displayName="Table3" ref="A1:BP239" totalsRowShown="0">
  <autoFilter ref="A1:BP239" xr:uid="{C39BB20A-5E07-4183-B8FD-04F5BF167820}"/>
  <sortState xmlns:xlrd2="http://schemas.microsoft.com/office/spreadsheetml/2017/richdata2" ref="A2:BP239">
    <sortCondition ref="A1:A239"/>
  </sortState>
  <tableColumns count="68">
    <tableColumn id="1" xr3:uid="{0B8CC7F0-9F65-4FF4-A301-5F676EA1B069}" name="Name"/>
    <tableColumn id="2" xr3:uid="{995CAAEB-D6E8-4D39-B7F9-0938FF5FD747}" name="Date" dataDxfId="51"/>
    <tableColumn id="3" xr3:uid="{66BA04B7-EA58-4D86-90F4-DA9282C0F91C}" name="Absences Durée"/>
    <tableColumn id="4" xr3:uid="{A2487029-0FC6-41EA-8699-93FEC4DA67E5}" name="Absence Code"/>
    <tableColumn id="5" xr3:uid="{69BD4498-018D-44AA-B57B-EB68EB21C7FD}" name="Prestation payée"/>
    <tableColumn id="6" xr3:uid="{564A79AC-492F-4FC7-8925-0CDB42585C35}" name="Heures Supp.Durée"/>
    <tableColumn id="7" xr3:uid="{9432768C-3315-4393-8174-07F121779769}" name="Heures Supp.Code"/>
    <tableColumn id="8" xr3:uid="{10570C47-E722-4A26-9329-1CE2DB903CFC}" name="Norme"/>
    <tableColumn id="9" xr3:uid="{E8A49A97-0920-453C-B59B-8DBEE52F248D}" name="Pointages"/>
    <tableColumn id="10" xr3:uid="{AC4BE13B-3FB3-4A9D-818B-03B10F7E3866}" name="Temps Présent"/>
    <tableColumn id="11" xr3:uid="{BA468816-C3A4-430D-8C15-1EC73437CF33}" name="Temps_Calc"/>
    <tableColumn id="12" xr3:uid="{A8270B04-1CAC-4A68-B362-56907626A16D}" name="Horaire"/>
    <tableColumn id="13" xr3:uid="{1FFFEB47-B0A2-4DD7-9C09-0B5F86AF0CD9}" name="Coût planif"/>
    <tableColumn id="14" xr3:uid="{473434DB-F68D-4E3E-AE50-3FB45028F48F}" name="LastCost.Cout Reel"/>
    <tableColumn id="15" xr3:uid="{45092DC3-DD10-4607-97EC-47BD5C6DAEB6}" name="LastCost.poit. Coût"/>
    <tableColumn id="16" xr3:uid="{2C2704D4-10D6-4157-B70B-E473DC27AA2E}" name="ImportProtimesumAbs.total abs"/>
    <tableColumn id="17" xr3:uid="{9D1A2D25-4808-4676-915E-BA862AFB55E2}" name="Département"/>
    <tableColumn id="18" xr3:uid="{3030D556-7CD8-43C4-97D2-945FBC4F1A72}" name="Fonction"/>
    <tableColumn id="19" xr3:uid="{AEB76B4E-CCB7-445A-BB97-9699247B12F8}" name="Employeur"/>
    <tableColumn id="20" xr3:uid="{56D95591-1B5F-49FD-B600-9C5E10AEB86A}" name="secteur"/>
    <tableColumn id="21" xr3:uid="{66FCA3FE-2730-4B90-878B-FF7144492329}" name="lieu de travail"/>
    <tableColumn id="22" xr3:uid="{A1EDB287-AC6D-4E52-87AC-58DA15F333EF}" name="Groupe de gestion"/>
    <tableColumn id="23" xr3:uid="{F9037A70-55C0-46AE-A3B9-DA333CB3B111}" name="Groupe gestion introduit"/>
    <tableColumn id="24" xr3:uid="{8C981E03-8CD8-4BD1-AF72-0962E5EAC87A}" name="Rem"/>
    <tableColumn id="25" xr3:uid="{3EE14845-6619-4239-9553-0C29BFBC58F1}" name="TaskPlanned"/>
    <tableColumn id="26" xr3:uid="{7002259D-A8F5-48AA-9DB2-CD05224B788E}" name="Present"/>
    <tableColumn id="27" xr3:uid="{1EEDA6DC-5316-4B3A-9F7B-9F9CE5920F1F}" name="%Abs"/>
    <tableColumn id="28" xr3:uid="{DD290907-4B82-496E-90FC-DD1036A31E61}" name="ConsideredPlanned"/>
    <tableColumn id="29" xr3:uid="{80D644E3-4F3C-420F-8DB4-FD81559B3385}" name="NA1"/>
    <tableColumn id="30" xr3:uid="{513F20CC-4EEF-4CDE-B1DE-E88F8FD39404}" name="NA2"/>
    <tableColumn id="31" xr3:uid="{18E91E1B-2DD7-4FE8-A344-5714217AF137}" name="Check PTask"/>
    <tableColumn id="32" xr3:uid="{5CDA9045-37B8-4378-A446-9D83E39D4D8E}" name="Status plan"/>
    <tableColumn id="33" xr3:uid="{20BF151A-4843-40A2-B657-B77A25492E20}" name="ScopeDate"/>
    <tableColumn id="34" xr3:uid="{A305BFFB-24D2-4185-B27F-4596971FB5CD}" name="Shift Table.Shift Used"/>
    <tableColumn id="35" xr3:uid="{4012F94A-0292-4ABA-8322-4C4287618E3E}" name="GR_Gestion"/>
    <tableColumn id="36" xr3:uid="{3304D8B0-D88D-4C3B-8616-2F98368D9002}" name="countHead planned"/>
    <tableColumn id="37" xr3:uid="{A49998ED-DA29-47A2-8A0E-65DCB1B27EAC}" name="Absence Codes.Category"/>
    <tableColumn id="38" xr3:uid="{A776B8E4-B932-4102-88A5-6F316ADC462B}" name="NA3"/>
    <tableColumn id="39" xr3:uid="{16010866-728F-418A-AE34-8126C0306828}" name="NA4"/>
    <tableColumn id="40" xr3:uid="{235CD61B-8A6E-4329-BF4E-7C0A2988C52A}" name="NA5"/>
    <tableColumn id="41" xr3:uid="{342585A6-4BF1-4DFA-9BB5-736FDAFD7C2A}" name="Corrected Fct"/>
    <tableColumn id="42" xr3:uid="{A85DD7A8-7037-4EE2-99F3-5B93D9A814FC}" name="OPS Scope"/>
    <tableColumn id="43" xr3:uid="{3D7A8B5F-B607-49E0-A781-B2140D56A184}" name="NA6"/>
    <tableColumn id="44" xr3:uid="{EE2354E1-029D-4B24-BDE8-CD59B8178567}" name="HoD_WF_Plan_Name"/>
    <tableColumn id="45" xr3:uid="{15C755C4-9310-4678-AEAD-9BF05C15AA86}" name="HoD_WF_Actual_Name"/>
    <tableColumn id="46" xr3:uid="{917008D3-5199-4E7A-B34B-92FDCA75B10E}" name="WF Planning Overules"/>
    <tableColumn id="47" xr3:uid="{C365F1D8-EE89-4FCA-AA85-94CB4ACF126B}" name="DateEntree"/>
    <tableColumn id="48" xr3:uid="{887EF2CC-0BD7-4727-B2F5-D96F9F2612B9}" name="Anomaly1_HeuresNonJustifiées"/>
    <tableColumn id="49" xr3:uid="{59C824FA-F685-4E50-8D76-3620C9C0261E}" name="Anomaly2_TotalHeuresVsNnorme"/>
    <tableColumn id="50" xr3:uid="{D4A69BEE-163E-49A6-9A53-5DBD7CA2E318}" name="ConsoAnomalyDuration"/>
    <tableColumn id="51" xr3:uid="{55FC460C-AADF-4F91-836B-501AE66AC015}" name="Matricule"/>
    <tableColumn id="52" xr3:uid="{FD4240EE-C165-4B40-AEC6-A388310C52B2}" name="CheckPrêt"/>
    <tableColumn id="53" xr3:uid="{3208D25E-24B5-4FCE-8A75-6C1B3BC5D39D}" name="Anomaly"/>
    <tableColumn id="54" xr3:uid="{D0B1A3D7-462A-4518-94A1-F4A707F08A9D}" name="Ref_Forcing_Rules.Info"/>
    <tableColumn id="55" xr3:uid="{25BB454D-6B15-4C47-BF22-DC6F25FF8A9D}" name="CheckDispo"/>
    <tableColumn id="56" xr3:uid="{AF583EED-5877-42BE-A57F-828DBB1C0398}" name="CheckPlannif_PVx.Absence Code PV"/>
    <tableColumn id="57" xr3:uid="{E8340753-E524-41EB-B944-7D1F100F28B7}" name="Durée Demandée"/>
    <tableColumn id="58" xr3:uid="{AFDDC975-7AD9-4438-BF25-65A0CE25CE6F}" name="RefusDemande"/>
    <tableColumn id="59" xr3:uid="{0F94C11B-AC16-4A20-A1C2-505009864CB9}" name="PVxInScope"/>
    <tableColumn id="60" xr3:uid="{AADCF975-A7FB-47E5-ACA3-5E8A19B4C232}" name="Concat Name/Info"/>
    <tableColumn id="61" xr3:uid="{A00804B2-4E37-402F-A2C8-166137B796A2}" name="TOTAL Skills"/>
    <tableColumn id="62" xr3:uid="{5010EF13-C174-459C-8E9F-F382983B96E5}" name="ShiftSeq"/>
    <tableColumn id="63" xr3:uid="{30D488F9-DD09-4417-948B-1AFDD5415533}" name="Pl_Anomaly"/>
    <tableColumn id="64" xr3:uid="{1BF0851E-EA72-4D9D-9E01-65BEAF0FDAB6}" name="Pending Durée"/>
    <tableColumn id="65" xr3:uid="{DAC233B0-78E6-4403-834C-504DBBFBC97D}" name="Absence Code Pending"/>
    <tableColumn id="66" xr3:uid="{98A7F857-5B62-4712-8BEB-87BD630E1555}" name="IDPlanningCost"/>
    <tableColumn id="67" xr3:uid="{7D7C3521-A22A-40FD-BA50-BED4CA5331AB}" name="WkNum"/>
    <tableColumn id="68" xr3:uid="{9C768661-666B-4491-8A83-C2A8F1DAB006}" name="WeekDa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C30BB6-369A-4372-9FFF-857D46248830}" name="tblCapSO" displayName="tblCapSO" ref="A2:C4" totalsRowShown="0">
  <tableColumns count="3">
    <tableColumn id="1" xr3:uid="{8A18D9C9-B2D1-4CCD-A044-C2FB6182BB32}" name="Poste"/>
    <tableColumn id="2" xr3:uid="{D0A68D10-4F96-4C86-B4C0-0FA1A650918A}" name="AM" dataDxfId="50"/>
    <tableColumn id="3" xr3:uid="{1689EF55-1B11-424B-8279-EB8BC6726A7C}" name="PM" dataDxfId="49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317A06-1907-4640-9CFE-ECA8F8FDE313}" name="tblForce" displayName="tblForce" ref="P2:Q26" totalsRowShown="0" headerRowDxfId="48" dataDxfId="47">
  <tableColumns count="2">
    <tableColumn id="1" xr3:uid="{99041687-C394-4561-A9C3-B51DC9CA13EB}" name="Nom" dataDxfId="46"/>
    <tableColumn id="2" xr3:uid="{F4A0FFEF-E874-4EDF-8E14-F3369DDABEDB}" name="Rôle" dataDxfId="45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67FFF8-BB96-4F88-9E15-BAFCF08412D8}" name="tblExclude" displayName="tblExclude" ref="N2:N6" totalsRowShown="0" headerRowDxfId="44" dataDxfId="43">
  <tableColumns count="1">
    <tableColumn id="1" xr3:uid="{3DA7B41C-0D28-402E-897D-DAC22147AABD}" name="Nom" dataDxfId="42"/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2EEA1A-E37E-49E3-BD37-9177A28DC39C}" name="tblMap" displayName="tblMap" ref="U2:W69" totalsRowShown="0" headerRowDxfId="41" dataDxfId="40">
  <autoFilter ref="U2:W69" xr:uid="{8C20DDB0-F66C-4489-8536-29AAC5FED39E}"/>
  <tableColumns count="3">
    <tableColumn id="1" xr3:uid="{C6E510BB-F401-4958-85A0-4382AD21FB97}" name="Poste" dataDxfId="39"/>
    <tableColumn id="2" xr3:uid="{27EC5565-FAAB-406C-B8ED-E79EF1F43F6B}" name="Slot" dataDxfId="38"/>
    <tableColumn id="3" xr3:uid="{22CE138E-C032-4F24-90F0-3381243B8195}" name="Cellule" dataDxfId="37"/>
  </tableColumns>
  <tableStyleInfo name="TableStyleMedium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5581C5C-2E1B-4175-B942-D2A4BE85436D}" name="tblCapLO" displayName="tblCapLO" ref="A13:C16" totalsRowShown="0">
  <tableColumns count="3">
    <tableColumn id="1" xr3:uid="{5EB7A7A3-B28A-471E-BF8A-28E5C080B3B2}" name="Poste"/>
    <tableColumn id="2" xr3:uid="{091013A8-0F54-4A7E-AD4E-4151D03A7BC7}" name="AM" dataDxfId="36"/>
    <tableColumn id="3" xr3:uid="{72D1975D-A570-49EC-8C83-8C00C8F599F0}" name="PM" dataDxfId="35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68F79A-4561-4289-8610-F920CB3748F3}" name="tblBackupSO" displayName="tblBackupSO" ref="F2:H4" totalsRowShown="0" headerRowDxfId="34">
  <tableColumns count="3">
    <tableColumn id="1" xr3:uid="{0B4C770E-5928-4465-BB9D-6FE83676B9F5}" name="Poste"/>
    <tableColumn id="2" xr3:uid="{EE4D9084-86B0-4E92-ABCA-71EA73FFE44A}" name="AM" dataDxfId="33"/>
    <tableColumn id="3" xr3:uid="{BBD34325-BEDC-4B53-9B54-04DB995F0985}" name="PM" dataDxfId="32"/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68C4CC-30D6-4020-AAA3-9F6E4D8D6989}" name="tblBackupLO" displayName="tblBackupLO" ref="F13:H16" totalsRowShown="0" headerRowDxfId="31">
  <tableColumns count="3">
    <tableColumn id="1" xr3:uid="{CE037E39-39B3-4EDE-A4F8-7133A8B6C9E6}" name="Poste"/>
    <tableColumn id="2" xr3:uid="{17297802-EF1B-4C72-8D5D-F7B6AA7AFFA7}" name="AM" dataDxfId="30"/>
    <tableColumn id="3" xr3:uid="{345FBFBA-54DC-4DC3-AA1B-10BB9745E728}" name="PM" dataDxfId="29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C9848-8F4E-4214-B090-19677E379F32}">
  <sheetPr codeName="Sheet5"/>
  <dimension ref="A1:BP239"/>
  <sheetViews>
    <sheetView topLeftCell="BA34" workbookViewId="0">
      <selection activeCell="A43" sqref="A43:XFD43"/>
    </sheetView>
  </sheetViews>
  <sheetFormatPr defaultRowHeight="15" x14ac:dyDescent="0.25"/>
  <cols>
    <col min="1" max="1" width="35.5703125" bestFit="1" customWidth="1"/>
    <col min="2" max="2" width="9.42578125" bestFit="1" customWidth="1"/>
    <col min="3" max="3" width="17" bestFit="1" customWidth="1"/>
    <col min="4" max="4" width="15.42578125" bestFit="1" customWidth="1"/>
    <col min="5" max="5" width="17.5703125" bestFit="1" customWidth="1"/>
    <col min="6" max="6" width="19.85546875" bestFit="1" customWidth="1"/>
    <col min="7" max="7" width="19.140625" bestFit="1" customWidth="1"/>
    <col min="8" max="8" width="9.140625" bestFit="1" customWidth="1"/>
    <col min="9" max="9" width="11.5703125" bestFit="1" customWidth="1"/>
    <col min="10" max="10" width="15.85546875" bestFit="1" customWidth="1"/>
    <col min="11" max="11" width="13.140625" bestFit="1" customWidth="1"/>
    <col min="12" max="12" width="28.5703125" bestFit="1" customWidth="1"/>
    <col min="13" max="13" width="12.5703125" bestFit="1" customWidth="1"/>
    <col min="14" max="14" width="19.140625" bestFit="1" customWidth="1"/>
    <col min="15" max="15" width="19.42578125" bestFit="1" customWidth="1"/>
    <col min="16" max="16" width="30.85546875" bestFit="1" customWidth="1"/>
    <col min="17" max="17" width="14.5703125" bestFit="1" customWidth="1"/>
    <col min="18" max="18" width="18.85546875" bestFit="1" customWidth="1"/>
    <col min="19" max="19" width="23" bestFit="1" customWidth="1"/>
    <col min="20" max="20" width="9.5703125" bestFit="1" customWidth="1"/>
    <col min="21" max="21" width="21.5703125" bestFit="1" customWidth="1"/>
    <col min="22" max="22" width="22.5703125" bestFit="1" customWidth="1"/>
    <col min="23" max="23" width="24.5703125" bestFit="1" customWidth="1"/>
    <col min="24" max="24" width="8.85546875" bestFit="1" customWidth="1"/>
    <col min="25" max="25" width="13.85546875" bestFit="1" customWidth="1"/>
    <col min="26" max="26" width="9.85546875" bestFit="1" customWidth="1"/>
    <col min="27" max="27" width="8.85546875" bestFit="1" customWidth="1"/>
    <col min="28" max="28" width="20.140625" bestFit="1" customWidth="1"/>
    <col min="29" max="30" width="8.85546875" bestFit="1" customWidth="1"/>
    <col min="31" max="31" width="13.42578125" bestFit="1" customWidth="1"/>
    <col min="32" max="32" width="12.5703125" bestFit="1" customWidth="1"/>
    <col min="33" max="33" width="12.42578125" bestFit="1" customWidth="1"/>
    <col min="34" max="34" width="21.85546875" bestFit="1" customWidth="1"/>
    <col min="35" max="35" width="22.5703125" bestFit="1" customWidth="1"/>
    <col min="36" max="36" width="20" bestFit="1" customWidth="1"/>
    <col min="37" max="37" width="24.5703125" bestFit="1" customWidth="1"/>
    <col min="38" max="40" width="8.85546875" bestFit="1" customWidth="1"/>
    <col min="41" max="41" width="14.42578125" bestFit="1" customWidth="1"/>
    <col min="42" max="42" width="12.140625" bestFit="1" customWidth="1"/>
    <col min="43" max="43" width="8.85546875" bestFit="1" customWidth="1"/>
    <col min="44" max="44" width="21.5703125" bestFit="1" customWidth="1"/>
    <col min="45" max="45" width="23.42578125" bestFit="1" customWidth="1"/>
    <col min="46" max="46" width="22.140625" bestFit="1" customWidth="1"/>
    <col min="47" max="47" width="12.85546875" bestFit="1" customWidth="1"/>
    <col min="48" max="48" width="30.85546875" bestFit="1" customWidth="1"/>
    <col min="49" max="49" width="32.5703125" bestFit="1" customWidth="1"/>
    <col min="50" max="50" width="23.5703125" bestFit="1" customWidth="1"/>
    <col min="51" max="51" width="11.42578125" bestFit="1" customWidth="1"/>
    <col min="52" max="52" width="11.85546875" bestFit="1" customWidth="1"/>
    <col min="53" max="53" width="10.5703125" bestFit="1" customWidth="1"/>
    <col min="54" max="54" width="23.140625" bestFit="1" customWidth="1"/>
    <col min="55" max="55" width="13.140625" bestFit="1" customWidth="1"/>
    <col min="56" max="56" width="34.5703125" bestFit="1" customWidth="1"/>
    <col min="57" max="57" width="18.42578125" bestFit="1" customWidth="1"/>
    <col min="58" max="58" width="16.42578125" bestFit="1" customWidth="1"/>
    <col min="59" max="59" width="13.140625" bestFit="1" customWidth="1"/>
    <col min="60" max="60" width="36.5703125" bestFit="1" customWidth="1"/>
    <col min="61" max="61" width="13.42578125" bestFit="1" customWidth="1"/>
    <col min="62" max="62" width="10.42578125" bestFit="1" customWidth="1"/>
    <col min="63" max="63" width="13.42578125" bestFit="1" customWidth="1"/>
    <col min="64" max="64" width="15.85546875" bestFit="1" customWidth="1"/>
    <col min="65" max="65" width="23" bestFit="1" customWidth="1"/>
    <col min="66" max="66" width="40.5703125" bestFit="1" customWidth="1"/>
    <col min="67" max="67" width="10.140625" bestFit="1" customWidth="1"/>
    <col min="68" max="68" width="11.42578125" bestFit="1" customWidth="1"/>
  </cols>
  <sheetData>
    <row r="1" spans="1:6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</row>
    <row r="2" spans="1:68" x14ac:dyDescent="0.25">
      <c r="A2" t="s">
        <v>196</v>
      </c>
      <c r="B2" s="1">
        <v>46181</v>
      </c>
      <c r="E2" t="s">
        <v>170</v>
      </c>
      <c r="F2">
        <v>0</v>
      </c>
      <c r="G2" t="s">
        <v>170</v>
      </c>
      <c r="H2">
        <v>7.67</v>
      </c>
      <c r="J2" t="s">
        <v>170</v>
      </c>
      <c r="L2" t="s">
        <v>208</v>
      </c>
      <c r="M2" t="s">
        <v>188</v>
      </c>
      <c r="P2">
        <v>0</v>
      </c>
      <c r="Q2" t="s">
        <v>197</v>
      </c>
      <c r="R2" t="s">
        <v>174</v>
      </c>
      <c r="S2" t="s">
        <v>190</v>
      </c>
      <c r="T2" t="s">
        <v>191</v>
      </c>
      <c r="U2" t="s">
        <v>198</v>
      </c>
      <c r="V2" t="s">
        <v>199</v>
      </c>
      <c r="Z2" t="s">
        <v>170</v>
      </c>
      <c r="AA2">
        <v>0</v>
      </c>
      <c r="AB2" t="s">
        <v>179</v>
      </c>
      <c r="AC2" t="s">
        <v>170</v>
      </c>
      <c r="AD2" t="s">
        <v>170</v>
      </c>
      <c r="AE2" t="s">
        <v>179</v>
      </c>
      <c r="AF2" t="s">
        <v>180</v>
      </c>
      <c r="AG2" t="s">
        <v>181</v>
      </c>
      <c r="AH2" t="s">
        <v>73</v>
      </c>
      <c r="AI2" t="s">
        <v>199</v>
      </c>
      <c r="AJ2">
        <v>1</v>
      </c>
      <c r="AL2" t="s">
        <v>170</v>
      </c>
      <c r="AM2" t="s">
        <v>170</v>
      </c>
      <c r="AN2" t="s">
        <v>170</v>
      </c>
      <c r="AO2" t="s">
        <v>183</v>
      </c>
      <c r="AP2">
        <v>1</v>
      </c>
      <c r="AQ2" t="s">
        <v>170</v>
      </c>
      <c r="AR2" t="s">
        <v>194</v>
      </c>
      <c r="AS2" t="s">
        <v>185</v>
      </c>
      <c r="AU2">
        <v>44409</v>
      </c>
      <c r="AX2" t="s">
        <v>170</v>
      </c>
      <c r="AY2">
        <v>950</v>
      </c>
      <c r="AZ2" t="s">
        <v>186</v>
      </c>
      <c r="BA2" t="s">
        <v>185</v>
      </c>
      <c r="BG2" t="s">
        <v>170</v>
      </c>
      <c r="BH2" t="s">
        <v>196</v>
      </c>
      <c r="BJ2" t="s">
        <v>195</v>
      </c>
      <c r="BK2">
        <v>0</v>
      </c>
      <c r="BN2" t="s">
        <v>569</v>
      </c>
      <c r="BO2">
        <v>24</v>
      </c>
      <c r="BP2">
        <v>1</v>
      </c>
    </row>
    <row r="3" spans="1:68" x14ac:dyDescent="0.25">
      <c r="A3" t="s">
        <v>570</v>
      </c>
      <c r="B3" s="1">
        <v>46181</v>
      </c>
      <c r="E3" t="s">
        <v>170</v>
      </c>
      <c r="F3">
        <v>0</v>
      </c>
      <c r="G3" t="s">
        <v>170</v>
      </c>
      <c r="H3">
        <v>7.67</v>
      </c>
      <c r="J3" t="s">
        <v>170</v>
      </c>
      <c r="L3" t="s">
        <v>208</v>
      </c>
      <c r="M3" t="s">
        <v>188</v>
      </c>
      <c r="P3">
        <v>0</v>
      </c>
      <c r="Q3" t="s">
        <v>173</v>
      </c>
      <c r="R3" t="s">
        <v>174</v>
      </c>
      <c r="S3" t="s">
        <v>190</v>
      </c>
      <c r="T3" t="s">
        <v>191</v>
      </c>
      <c r="U3" t="s">
        <v>192</v>
      </c>
      <c r="V3" t="s">
        <v>193</v>
      </c>
      <c r="Z3" t="s">
        <v>170</v>
      </c>
      <c r="AA3">
        <v>0</v>
      </c>
      <c r="AB3" t="s">
        <v>179</v>
      </c>
      <c r="AC3" t="s">
        <v>170</v>
      </c>
      <c r="AD3" t="s">
        <v>170</v>
      </c>
      <c r="AE3" t="s">
        <v>179</v>
      </c>
      <c r="AF3" t="s">
        <v>180</v>
      </c>
      <c r="AG3" t="s">
        <v>181</v>
      </c>
      <c r="AH3" t="s">
        <v>73</v>
      </c>
      <c r="AI3" t="s">
        <v>193</v>
      </c>
      <c r="AJ3">
        <v>1</v>
      </c>
      <c r="AL3" t="s">
        <v>170</v>
      </c>
      <c r="AM3" t="s">
        <v>170</v>
      </c>
      <c r="AN3" t="s">
        <v>170</v>
      </c>
      <c r="AO3" t="s">
        <v>183</v>
      </c>
      <c r="AP3">
        <v>1</v>
      </c>
      <c r="AQ3" t="s">
        <v>170</v>
      </c>
      <c r="AR3" t="s">
        <v>194</v>
      </c>
      <c r="AS3" t="s">
        <v>185</v>
      </c>
      <c r="AU3">
        <v>43770</v>
      </c>
      <c r="AX3" t="s">
        <v>170</v>
      </c>
      <c r="AY3">
        <v>898</v>
      </c>
      <c r="AZ3" t="s">
        <v>186</v>
      </c>
      <c r="BA3" t="s">
        <v>185</v>
      </c>
      <c r="BG3" t="s">
        <v>170</v>
      </c>
      <c r="BH3" t="s">
        <v>570</v>
      </c>
      <c r="BJ3" t="s">
        <v>245</v>
      </c>
      <c r="BK3">
        <v>0</v>
      </c>
      <c r="BN3" t="s">
        <v>571</v>
      </c>
      <c r="BO3">
        <v>24</v>
      </c>
      <c r="BP3">
        <v>1</v>
      </c>
    </row>
    <row r="4" spans="1:68" x14ac:dyDescent="0.25">
      <c r="A4" t="s">
        <v>394</v>
      </c>
      <c r="B4" s="1">
        <v>46181</v>
      </c>
      <c r="E4" t="s">
        <v>170</v>
      </c>
      <c r="F4">
        <v>0</v>
      </c>
      <c r="G4" t="s">
        <v>170</v>
      </c>
      <c r="H4">
        <v>8</v>
      </c>
      <c r="J4" t="s">
        <v>170</v>
      </c>
      <c r="L4" t="s">
        <v>187</v>
      </c>
      <c r="M4" t="s">
        <v>188</v>
      </c>
      <c r="P4">
        <v>0</v>
      </c>
      <c r="Q4" t="s">
        <v>173</v>
      </c>
      <c r="R4" t="s">
        <v>174</v>
      </c>
      <c r="S4" t="s">
        <v>190</v>
      </c>
      <c r="T4" t="s">
        <v>191</v>
      </c>
      <c r="U4" t="s">
        <v>201</v>
      </c>
      <c r="V4" t="s">
        <v>202</v>
      </c>
      <c r="Z4" t="s">
        <v>170</v>
      </c>
      <c r="AA4">
        <v>0</v>
      </c>
      <c r="AB4" t="s">
        <v>179</v>
      </c>
      <c r="AC4" t="s">
        <v>170</v>
      </c>
      <c r="AD4" t="s">
        <v>170</v>
      </c>
      <c r="AE4" t="s">
        <v>179</v>
      </c>
      <c r="AF4" t="s">
        <v>180</v>
      </c>
      <c r="AG4" t="s">
        <v>181</v>
      </c>
      <c r="AH4" t="s">
        <v>72</v>
      </c>
      <c r="AI4" t="s">
        <v>202</v>
      </c>
      <c r="AJ4">
        <v>1</v>
      </c>
      <c r="AL4" t="s">
        <v>170</v>
      </c>
      <c r="AM4" t="s">
        <v>170</v>
      </c>
      <c r="AN4" t="s">
        <v>170</v>
      </c>
      <c r="AO4" t="s">
        <v>183</v>
      </c>
      <c r="AP4">
        <v>1</v>
      </c>
      <c r="AQ4" t="s">
        <v>170</v>
      </c>
      <c r="AR4" t="s">
        <v>194</v>
      </c>
      <c r="AS4" t="s">
        <v>185</v>
      </c>
      <c r="AU4">
        <v>44593</v>
      </c>
      <c r="AX4" t="s">
        <v>170</v>
      </c>
      <c r="AY4">
        <v>1011</v>
      </c>
      <c r="AZ4" t="s">
        <v>186</v>
      </c>
      <c r="BA4" t="s">
        <v>185</v>
      </c>
      <c r="BG4" t="s">
        <v>170</v>
      </c>
      <c r="BH4" t="s">
        <v>394</v>
      </c>
      <c r="BJ4" t="s">
        <v>211</v>
      </c>
      <c r="BK4">
        <v>0</v>
      </c>
      <c r="BN4" t="s">
        <v>572</v>
      </c>
      <c r="BO4">
        <v>24</v>
      </c>
      <c r="BP4">
        <v>1</v>
      </c>
    </row>
    <row r="5" spans="1:68" x14ac:dyDescent="0.25">
      <c r="A5" t="s">
        <v>434</v>
      </c>
      <c r="B5" s="1">
        <v>46181</v>
      </c>
      <c r="E5" t="s">
        <v>170</v>
      </c>
      <c r="F5">
        <v>0</v>
      </c>
      <c r="G5" t="s">
        <v>170</v>
      </c>
      <c r="H5">
        <v>7.67</v>
      </c>
      <c r="J5" t="s">
        <v>170</v>
      </c>
      <c r="L5" t="s">
        <v>208</v>
      </c>
      <c r="M5" t="s">
        <v>188</v>
      </c>
      <c r="P5">
        <v>0</v>
      </c>
      <c r="Q5" t="s">
        <v>197</v>
      </c>
      <c r="R5" t="s">
        <v>174</v>
      </c>
      <c r="S5" t="s">
        <v>190</v>
      </c>
      <c r="T5" t="s">
        <v>191</v>
      </c>
      <c r="U5" t="s">
        <v>209</v>
      </c>
      <c r="V5" t="s">
        <v>210</v>
      </c>
      <c r="Z5" t="s">
        <v>170</v>
      </c>
      <c r="AA5">
        <v>0</v>
      </c>
      <c r="AB5" t="s">
        <v>179</v>
      </c>
      <c r="AC5" t="s">
        <v>170</v>
      </c>
      <c r="AD5" t="s">
        <v>170</v>
      </c>
      <c r="AE5" t="s">
        <v>179</v>
      </c>
      <c r="AF5" t="s">
        <v>180</v>
      </c>
      <c r="AG5" t="s">
        <v>181</v>
      </c>
      <c r="AH5" t="s">
        <v>73</v>
      </c>
      <c r="AI5" t="s">
        <v>210</v>
      </c>
      <c r="AJ5">
        <v>1</v>
      </c>
      <c r="AL5" t="s">
        <v>170</v>
      </c>
      <c r="AM5" t="s">
        <v>170</v>
      </c>
      <c r="AN5" t="s">
        <v>170</v>
      </c>
      <c r="AO5" t="s">
        <v>183</v>
      </c>
      <c r="AP5">
        <v>1</v>
      </c>
      <c r="AQ5" t="s">
        <v>170</v>
      </c>
      <c r="AR5" t="s">
        <v>194</v>
      </c>
      <c r="AS5" t="s">
        <v>185</v>
      </c>
      <c r="AU5">
        <v>42948</v>
      </c>
      <c r="AX5" t="s">
        <v>170</v>
      </c>
      <c r="AY5">
        <v>740</v>
      </c>
      <c r="AZ5" t="s">
        <v>186</v>
      </c>
      <c r="BA5" t="s">
        <v>185</v>
      </c>
      <c r="BG5" t="s">
        <v>170</v>
      </c>
      <c r="BH5" t="s">
        <v>434</v>
      </c>
      <c r="BI5">
        <v>1</v>
      </c>
      <c r="BJ5" t="s">
        <v>195</v>
      </c>
      <c r="BK5">
        <v>0</v>
      </c>
      <c r="BN5" t="s">
        <v>573</v>
      </c>
      <c r="BO5">
        <v>24</v>
      </c>
      <c r="BP5">
        <v>1</v>
      </c>
    </row>
    <row r="6" spans="1:68" x14ac:dyDescent="0.25">
      <c r="A6" t="s">
        <v>395</v>
      </c>
      <c r="B6" s="1">
        <v>46181</v>
      </c>
      <c r="E6" t="s">
        <v>170</v>
      </c>
      <c r="F6">
        <v>0</v>
      </c>
      <c r="G6" t="s">
        <v>170</v>
      </c>
      <c r="H6">
        <v>8</v>
      </c>
      <c r="J6" t="s">
        <v>170</v>
      </c>
      <c r="L6" t="s">
        <v>347</v>
      </c>
      <c r="M6" t="s">
        <v>222</v>
      </c>
      <c r="P6">
        <v>0</v>
      </c>
      <c r="Q6" t="s">
        <v>173</v>
      </c>
      <c r="R6" t="s">
        <v>174</v>
      </c>
      <c r="S6" t="s">
        <v>175</v>
      </c>
      <c r="T6" t="s">
        <v>348</v>
      </c>
      <c r="U6" t="s">
        <v>349</v>
      </c>
      <c r="V6" t="s">
        <v>396</v>
      </c>
      <c r="Z6" t="s">
        <v>170</v>
      </c>
      <c r="AA6">
        <v>0</v>
      </c>
      <c r="AB6" t="s">
        <v>179</v>
      </c>
      <c r="AC6" t="s">
        <v>170</v>
      </c>
      <c r="AD6" t="s">
        <v>170</v>
      </c>
      <c r="AE6" t="s">
        <v>179</v>
      </c>
      <c r="AF6" t="s">
        <v>180</v>
      </c>
      <c r="AG6" t="s">
        <v>181</v>
      </c>
      <c r="AH6" t="s">
        <v>72</v>
      </c>
      <c r="AI6" t="s">
        <v>396</v>
      </c>
      <c r="AJ6">
        <v>1</v>
      </c>
      <c r="AL6" t="s">
        <v>170</v>
      </c>
      <c r="AM6" t="s">
        <v>170</v>
      </c>
      <c r="AN6" t="s">
        <v>170</v>
      </c>
      <c r="AO6" t="s">
        <v>183</v>
      </c>
      <c r="AP6">
        <v>1</v>
      </c>
      <c r="AQ6" t="s">
        <v>170</v>
      </c>
      <c r="AR6" t="s">
        <v>222</v>
      </c>
      <c r="AS6" t="s">
        <v>185</v>
      </c>
      <c r="AU6">
        <v>44617</v>
      </c>
      <c r="AX6" t="s">
        <v>170</v>
      </c>
      <c r="AY6">
        <v>7681981</v>
      </c>
      <c r="AZ6" t="s">
        <v>186</v>
      </c>
      <c r="BA6" t="s">
        <v>185</v>
      </c>
      <c r="BG6" t="s">
        <v>170</v>
      </c>
      <c r="BH6" t="s">
        <v>395</v>
      </c>
      <c r="BK6">
        <v>0</v>
      </c>
      <c r="BN6" t="s">
        <v>574</v>
      </c>
      <c r="BO6">
        <v>24</v>
      </c>
      <c r="BP6">
        <v>1</v>
      </c>
    </row>
    <row r="7" spans="1:68" x14ac:dyDescent="0.25">
      <c r="A7" t="s">
        <v>282</v>
      </c>
      <c r="B7" s="1">
        <v>46181</v>
      </c>
      <c r="E7" t="s">
        <v>170</v>
      </c>
      <c r="F7">
        <v>0</v>
      </c>
      <c r="G7" t="s">
        <v>170</v>
      </c>
      <c r="H7">
        <v>7.67</v>
      </c>
      <c r="J7" t="s">
        <v>170</v>
      </c>
      <c r="L7" t="s">
        <v>208</v>
      </c>
      <c r="M7" t="s">
        <v>188</v>
      </c>
      <c r="P7">
        <v>0</v>
      </c>
      <c r="Q7" t="s">
        <v>197</v>
      </c>
      <c r="R7" t="s">
        <v>174</v>
      </c>
      <c r="S7" t="s">
        <v>190</v>
      </c>
      <c r="T7" t="s">
        <v>191</v>
      </c>
      <c r="U7" t="s">
        <v>209</v>
      </c>
      <c r="V7" t="s">
        <v>210</v>
      </c>
      <c r="Z7" t="s">
        <v>170</v>
      </c>
      <c r="AA7">
        <v>0</v>
      </c>
      <c r="AB7" t="s">
        <v>179</v>
      </c>
      <c r="AC7" t="s">
        <v>170</v>
      </c>
      <c r="AD7" t="s">
        <v>170</v>
      </c>
      <c r="AE7" t="s">
        <v>179</v>
      </c>
      <c r="AF7" t="s">
        <v>180</v>
      </c>
      <c r="AG7" t="s">
        <v>181</v>
      </c>
      <c r="AH7" t="s">
        <v>73</v>
      </c>
      <c r="AI7" t="s">
        <v>210</v>
      </c>
      <c r="AJ7">
        <v>1</v>
      </c>
      <c r="AL7" t="s">
        <v>170</v>
      </c>
      <c r="AM7" t="s">
        <v>170</v>
      </c>
      <c r="AN7" t="s">
        <v>170</v>
      </c>
      <c r="AO7" t="s">
        <v>183</v>
      </c>
      <c r="AP7">
        <v>1</v>
      </c>
      <c r="AQ7" t="s">
        <v>170</v>
      </c>
      <c r="AR7" t="s">
        <v>194</v>
      </c>
      <c r="AS7" t="s">
        <v>185</v>
      </c>
      <c r="AU7">
        <v>40119</v>
      </c>
      <c r="AX7" t="s">
        <v>170</v>
      </c>
      <c r="AY7">
        <v>432</v>
      </c>
      <c r="AZ7" t="s">
        <v>186</v>
      </c>
      <c r="BA7" t="s">
        <v>185</v>
      </c>
      <c r="BG7" t="s">
        <v>170</v>
      </c>
      <c r="BH7" t="s">
        <v>282</v>
      </c>
      <c r="BI7">
        <v>3</v>
      </c>
      <c r="BJ7" t="s">
        <v>195</v>
      </c>
      <c r="BK7">
        <v>0</v>
      </c>
      <c r="BN7" t="s">
        <v>575</v>
      </c>
      <c r="BO7">
        <v>24</v>
      </c>
      <c r="BP7">
        <v>1</v>
      </c>
    </row>
    <row r="8" spans="1:68" x14ac:dyDescent="0.25">
      <c r="A8" t="s">
        <v>351</v>
      </c>
      <c r="B8" s="1">
        <v>46181</v>
      </c>
      <c r="E8" t="s">
        <v>170</v>
      </c>
      <c r="F8">
        <v>0</v>
      </c>
      <c r="G8" t="s">
        <v>170</v>
      </c>
      <c r="H8">
        <v>8</v>
      </c>
      <c r="J8" t="s">
        <v>170</v>
      </c>
      <c r="L8" t="s">
        <v>187</v>
      </c>
      <c r="M8" t="s">
        <v>172</v>
      </c>
      <c r="P8">
        <v>0</v>
      </c>
      <c r="Q8" t="s">
        <v>197</v>
      </c>
      <c r="R8" t="s">
        <v>174</v>
      </c>
      <c r="S8" t="s">
        <v>190</v>
      </c>
      <c r="T8" t="s">
        <v>225</v>
      </c>
      <c r="U8" t="s">
        <v>215</v>
      </c>
      <c r="V8" t="s">
        <v>216</v>
      </c>
      <c r="Z8" t="s">
        <v>170</v>
      </c>
      <c r="AA8">
        <v>0</v>
      </c>
      <c r="AB8" t="s">
        <v>179</v>
      </c>
      <c r="AC8" t="s">
        <v>170</v>
      </c>
      <c r="AD8" t="s">
        <v>170</v>
      </c>
      <c r="AE8" t="s">
        <v>179</v>
      </c>
      <c r="AF8" t="s">
        <v>180</v>
      </c>
      <c r="AG8" t="s">
        <v>181</v>
      </c>
      <c r="AH8" t="s">
        <v>72</v>
      </c>
      <c r="AI8" t="s">
        <v>216</v>
      </c>
      <c r="AJ8">
        <v>1</v>
      </c>
      <c r="AL8" t="s">
        <v>170</v>
      </c>
      <c r="AM8" t="s">
        <v>170</v>
      </c>
      <c r="AN8" t="s">
        <v>170</v>
      </c>
      <c r="AO8" t="s">
        <v>183</v>
      </c>
      <c r="AP8">
        <v>1</v>
      </c>
      <c r="AQ8" t="s">
        <v>170</v>
      </c>
      <c r="AR8" t="s">
        <v>184</v>
      </c>
      <c r="AS8" t="s">
        <v>185</v>
      </c>
      <c r="AU8">
        <v>45717</v>
      </c>
      <c r="AX8" t="s">
        <v>170</v>
      </c>
      <c r="AY8">
        <v>1197</v>
      </c>
      <c r="AZ8" t="s">
        <v>186</v>
      </c>
      <c r="BA8" t="s">
        <v>185</v>
      </c>
      <c r="BG8" t="s">
        <v>170</v>
      </c>
      <c r="BH8" t="s">
        <v>351</v>
      </c>
      <c r="BJ8" t="s">
        <v>195</v>
      </c>
      <c r="BK8">
        <v>0</v>
      </c>
      <c r="BN8" t="s">
        <v>576</v>
      </c>
      <c r="BO8">
        <v>24</v>
      </c>
      <c r="BP8">
        <v>1</v>
      </c>
    </row>
    <row r="9" spans="1:68" x14ac:dyDescent="0.25">
      <c r="A9" t="s">
        <v>212</v>
      </c>
      <c r="B9" s="1">
        <v>46181</v>
      </c>
      <c r="E9" t="s">
        <v>170</v>
      </c>
      <c r="F9">
        <v>0</v>
      </c>
      <c r="G9" t="s">
        <v>170</v>
      </c>
      <c r="H9">
        <v>7.67</v>
      </c>
      <c r="J9" t="s">
        <v>170</v>
      </c>
      <c r="L9" t="s">
        <v>208</v>
      </c>
      <c r="M9" t="s">
        <v>188</v>
      </c>
      <c r="P9">
        <v>0</v>
      </c>
      <c r="Q9" t="s">
        <v>197</v>
      </c>
      <c r="R9" t="s">
        <v>174</v>
      </c>
      <c r="S9" t="s">
        <v>190</v>
      </c>
      <c r="T9" t="s">
        <v>191</v>
      </c>
      <c r="U9" t="s">
        <v>198</v>
      </c>
      <c r="V9" t="s">
        <v>199</v>
      </c>
      <c r="Z9" t="s">
        <v>170</v>
      </c>
      <c r="AA9">
        <v>0</v>
      </c>
      <c r="AB9" t="s">
        <v>179</v>
      </c>
      <c r="AC9" t="s">
        <v>170</v>
      </c>
      <c r="AD9" t="s">
        <v>170</v>
      </c>
      <c r="AE9" t="s">
        <v>179</v>
      </c>
      <c r="AF9" t="s">
        <v>180</v>
      </c>
      <c r="AG9" t="s">
        <v>181</v>
      </c>
      <c r="AH9" t="s">
        <v>73</v>
      </c>
      <c r="AI9" t="s">
        <v>199</v>
      </c>
      <c r="AJ9">
        <v>1</v>
      </c>
      <c r="AL9" t="s">
        <v>170</v>
      </c>
      <c r="AM9" t="s">
        <v>170</v>
      </c>
      <c r="AN9" t="s">
        <v>170</v>
      </c>
      <c r="AO9" t="s">
        <v>183</v>
      </c>
      <c r="AP9">
        <v>1</v>
      </c>
      <c r="AQ9" t="s">
        <v>170</v>
      </c>
      <c r="AR9" t="s">
        <v>194</v>
      </c>
      <c r="AS9" t="s">
        <v>185</v>
      </c>
      <c r="AU9">
        <v>44927</v>
      </c>
      <c r="AX9" t="s">
        <v>170</v>
      </c>
      <c r="AY9">
        <v>1122</v>
      </c>
      <c r="AZ9" t="s">
        <v>186</v>
      </c>
      <c r="BA9" t="s">
        <v>185</v>
      </c>
      <c r="BG9" t="s">
        <v>170</v>
      </c>
      <c r="BH9" t="s">
        <v>212</v>
      </c>
      <c r="BJ9" t="s">
        <v>195</v>
      </c>
      <c r="BK9">
        <v>0</v>
      </c>
      <c r="BN9" t="s">
        <v>577</v>
      </c>
      <c r="BO9">
        <v>24</v>
      </c>
      <c r="BP9">
        <v>1</v>
      </c>
    </row>
    <row r="10" spans="1:68" x14ac:dyDescent="0.25">
      <c r="A10" t="s">
        <v>578</v>
      </c>
      <c r="B10" s="1">
        <v>46181</v>
      </c>
      <c r="E10" t="s">
        <v>170</v>
      </c>
      <c r="F10">
        <v>0</v>
      </c>
      <c r="G10" t="s">
        <v>170</v>
      </c>
      <c r="H10">
        <v>8</v>
      </c>
      <c r="J10" t="s">
        <v>170</v>
      </c>
      <c r="L10" t="s">
        <v>187</v>
      </c>
      <c r="M10" t="s">
        <v>172</v>
      </c>
      <c r="P10">
        <v>0</v>
      </c>
      <c r="Q10" t="s">
        <v>197</v>
      </c>
      <c r="R10" t="s">
        <v>174</v>
      </c>
      <c r="S10" t="s">
        <v>190</v>
      </c>
      <c r="T10" t="s">
        <v>191</v>
      </c>
      <c r="U10" t="s">
        <v>198</v>
      </c>
      <c r="V10" t="s">
        <v>199</v>
      </c>
      <c r="Z10" t="s">
        <v>170</v>
      </c>
      <c r="AA10">
        <v>0</v>
      </c>
      <c r="AB10" t="s">
        <v>179</v>
      </c>
      <c r="AC10" t="s">
        <v>170</v>
      </c>
      <c r="AD10" t="s">
        <v>170</v>
      </c>
      <c r="AE10" t="s">
        <v>179</v>
      </c>
      <c r="AF10" t="s">
        <v>180</v>
      </c>
      <c r="AG10" t="s">
        <v>181</v>
      </c>
      <c r="AH10" t="s">
        <v>72</v>
      </c>
      <c r="AI10" t="s">
        <v>199</v>
      </c>
      <c r="AJ10">
        <v>1</v>
      </c>
      <c r="AL10" t="s">
        <v>170</v>
      </c>
      <c r="AM10" t="s">
        <v>170</v>
      </c>
      <c r="AN10" t="s">
        <v>170</v>
      </c>
      <c r="AO10" t="s">
        <v>183</v>
      </c>
      <c r="AP10">
        <v>1</v>
      </c>
      <c r="AQ10" t="s">
        <v>170</v>
      </c>
      <c r="AR10" t="s">
        <v>184</v>
      </c>
      <c r="AS10" t="s">
        <v>185</v>
      </c>
      <c r="AU10">
        <v>43313</v>
      </c>
      <c r="AX10" t="s">
        <v>170</v>
      </c>
      <c r="AY10">
        <v>823</v>
      </c>
      <c r="AZ10" t="s">
        <v>186</v>
      </c>
      <c r="BA10" t="s">
        <v>185</v>
      </c>
      <c r="BG10" t="s">
        <v>170</v>
      </c>
      <c r="BH10" t="s">
        <v>578</v>
      </c>
      <c r="BJ10" t="s">
        <v>211</v>
      </c>
      <c r="BK10">
        <v>0</v>
      </c>
      <c r="BN10" t="s">
        <v>579</v>
      </c>
      <c r="BO10">
        <v>24</v>
      </c>
      <c r="BP10">
        <v>1</v>
      </c>
    </row>
    <row r="11" spans="1:68" x14ac:dyDescent="0.25">
      <c r="A11" t="s">
        <v>580</v>
      </c>
      <c r="B11" s="1">
        <v>46181</v>
      </c>
      <c r="E11" t="s">
        <v>170</v>
      </c>
      <c r="F11">
        <v>0</v>
      </c>
      <c r="G11" t="s">
        <v>170</v>
      </c>
      <c r="H11">
        <v>8</v>
      </c>
      <c r="J11" t="s">
        <v>170</v>
      </c>
      <c r="L11" t="s">
        <v>187</v>
      </c>
      <c r="M11" t="s">
        <v>188</v>
      </c>
      <c r="P11">
        <v>0</v>
      </c>
      <c r="Q11" t="s">
        <v>197</v>
      </c>
      <c r="R11" t="s">
        <v>174</v>
      </c>
      <c r="S11" t="s">
        <v>190</v>
      </c>
      <c r="T11" t="s">
        <v>191</v>
      </c>
      <c r="U11" t="s">
        <v>205</v>
      </c>
      <c r="V11" t="s">
        <v>206</v>
      </c>
      <c r="Z11" t="s">
        <v>170</v>
      </c>
      <c r="AA11">
        <v>0</v>
      </c>
      <c r="AB11" t="s">
        <v>179</v>
      </c>
      <c r="AC11" t="s">
        <v>170</v>
      </c>
      <c r="AD11" t="s">
        <v>170</v>
      </c>
      <c r="AE11" t="s">
        <v>179</v>
      </c>
      <c r="AF11" t="s">
        <v>180</v>
      </c>
      <c r="AG11" t="s">
        <v>181</v>
      </c>
      <c r="AH11" t="s">
        <v>72</v>
      </c>
      <c r="AI11" t="s">
        <v>206</v>
      </c>
      <c r="AJ11">
        <v>1</v>
      </c>
      <c r="AL11" t="s">
        <v>170</v>
      </c>
      <c r="AM11" t="s">
        <v>170</v>
      </c>
      <c r="AN11" t="s">
        <v>170</v>
      </c>
      <c r="AO11" t="s">
        <v>183</v>
      </c>
      <c r="AP11">
        <v>1</v>
      </c>
      <c r="AQ11" t="s">
        <v>170</v>
      </c>
      <c r="AR11" t="s">
        <v>194</v>
      </c>
      <c r="AS11" t="s">
        <v>185</v>
      </c>
      <c r="AU11">
        <v>44743</v>
      </c>
      <c r="AX11" t="s">
        <v>170</v>
      </c>
      <c r="AY11">
        <v>1059</v>
      </c>
      <c r="AZ11" t="s">
        <v>186</v>
      </c>
      <c r="BA11" t="s">
        <v>185</v>
      </c>
      <c r="BG11" t="s">
        <v>170</v>
      </c>
      <c r="BH11" t="s">
        <v>580</v>
      </c>
      <c r="BJ11" t="s">
        <v>211</v>
      </c>
      <c r="BK11">
        <v>0</v>
      </c>
      <c r="BN11" t="s">
        <v>581</v>
      </c>
      <c r="BO11">
        <v>24</v>
      </c>
      <c r="BP11">
        <v>1</v>
      </c>
    </row>
    <row r="12" spans="1:68" x14ac:dyDescent="0.25">
      <c r="A12" t="s">
        <v>582</v>
      </c>
      <c r="B12" s="1">
        <v>46181</v>
      </c>
      <c r="E12" t="s">
        <v>170</v>
      </c>
      <c r="F12">
        <v>0</v>
      </c>
      <c r="G12" t="s">
        <v>170</v>
      </c>
      <c r="H12">
        <v>7.67</v>
      </c>
      <c r="J12" t="s">
        <v>170</v>
      </c>
      <c r="L12" t="s">
        <v>208</v>
      </c>
      <c r="M12" t="s">
        <v>188</v>
      </c>
      <c r="P12">
        <v>0</v>
      </c>
      <c r="Q12" t="s">
        <v>173</v>
      </c>
      <c r="R12" t="s">
        <v>174</v>
      </c>
      <c r="S12" t="s">
        <v>190</v>
      </c>
      <c r="T12" t="s">
        <v>191</v>
      </c>
      <c r="U12" t="s">
        <v>201</v>
      </c>
      <c r="V12" t="s">
        <v>202</v>
      </c>
      <c r="Z12" t="s">
        <v>170</v>
      </c>
      <c r="AA12">
        <v>0</v>
      </c>
      <c r="AB12" t="s">
        <v>179</v>
      </c>
      <c r="AC12" t="s">
        <v>170</v>
      </c>
      <c r="AD12" t="s">
        <v>170</v>
      </c>
      <c r="AE12" t="s">
        <v>179</v>
      </c>
      <c r="AF12" t="s">
        <v>180</v>
      </c>
      <c r="AG12" t="s">
        <v>181</v>
      </c>
      <c r="AH12" t="s">
        <v>73</v>
      </c>
      <c r="AI12" t="s">
        <v>202</v>
      </c>
      <c r="AJ12">
        <v>1</v>
      </c>
      <c r="AL12" t="s">
        <v>170</v>
      </c>
      <c r="AM12" t="s">
        <v>170</v>
      </c>
      <c r="AN12" t="s">
        <v>170</v>
      </c>
      <c r="AO12" t="s">
        <v>183</v>
      </c>
      <c r="AP12">
        <v>1</v>
      </c>
      <c r="AQ12" t="s">
        <v>170</v>
      </c>
      <c r="AR12" t="s">
        <v>194</v>
      </c>
      <c r="AS12" t="s">
        <v>185</v>
      </c>
      <c r="AU12">
        <v>44501</v>
      </c>
      <c r="AX12" t="s">
        <v>170</v>
      </c>
      <c r="AY12">
        <v>984</v>
      </c>
      <c r="AZ12" t="s">
        <v>186</v>
      </c>
      <c r="BA12" t="s">
        <v>185</v>
      </c>
      <c r="BG12" t="s">
        <v>170</v>
      </c>
      <c r="BH12" t="s">
        <v>582</v>
      </c>
      <c r="BJ12" t="s">
        <v>195</v>
      </c>
      <c r="BK12">
        <v>0</v>
      </c>
      <c r="BN12" t="s">
        <v>583</v>
      </c>
      <c r="BO12">
        <v>24</v>
      </c>
      <c r="BP12">
        <v>1</v>
      </c>
    </row>
    <row r="13" spans="1:68" x14ac:dyDescent="0.25">
      <c r="A13" t="s">
        <v>438</v>
      </c>
      <c r="B13" s="1">
        <v>46181</v>
      </c>
      <c r="E13" t="s">
        <v>170</v>
      </c>
      <c r="F13">
        <v>0</v>
      </c>
      <c r="G13" t="s">
        <v>170</v>
      </c>
      <c r="H13">
        <v>7.67</v>
      </c>
      <c r="J13" t="s">
        <v>170</v>
      </c>
      <c r="L13" t="s">
        <v>208</v>
      </c>
      <c r="M13" t="s">
        <v>172</v>
      </c>
      <c r="P13">
        <v>0</v>
      </c>
      <c r="Q13" t="s">
        <v>197</v>
      </c>
      <c r="R13" t="s">
        <v>174</v>
      </c>
      <c r="S13" t="s">
        <v>190</v>
      </c>
      <c r="T13" t="s">
        <v>191</v>
      </c>
      <c r="U13" t="s">
        <v>215</v>
      </c>
      <c r="V13" t="s">
        <v>216</v>
      </c>
      <c r="Z13" t="s">
        <v>170</v>
      </c>
      <c r="AA13">
        <v>0</v>
      </c>
      <c r="AB13" t="s">
        <v>179</v>
      </c>
      <c r="AC13" t="s">
        <v>170</v>
      </c>
      <c r="AD13" t="s">
        <v>170</v>
      </c>
      <c r="AE13" t="s">
        <v>179</v>
      </c>
      <c r="AF13" t="s">
        <v>180</v>
      </c>
      <c r="AG13" t="s">
        <v>181</v>
      </c>
      <c r="AH13" t="s">
        <v>73</v>
      </c>
      <c r="AI13" t="s">
        <v>216</v>
      </c>
      <c r="AJ13">
        <v>1</v>
      </c>
      <c r="AL13" t="s">
        <v>170</v>
      </c>
      <c r="AM13" t="s">
        <v>170</v>
      </c>
      <c r="AN13" t="s">
        <v>170</v>
      </c>
      <c r="AO13" t="s">
        <v>183</v>
      </c>
      <c r="AP13">
        <v>1</v>
      </c>
      <c r="AQ13" t="s">
        <v>170</v>
      </c>
      <c r="AR13" t="s">
        <v>184</v>
      </c>
      <c r="AS13" t="s">
        <v>185</v>
      </c>
      <c r="AU13">
        <v>43617</v>
      </c>
      <c r="AX13" t="s">
        <v>170</v>
      </c>
      <c r="AY13">
        <v>872</v>
      </c>
      <c r="AZ13" t="s">
        <v>186</v>
      </c>
      <c r="BA13" t="s">
        <v>185</v>
      </c>
      <c r="BG13" t="s">
        <v>170</v>
      </c>
      <c r="BH13" t="s">
        <v>438</v>
      </c>
      <c r="BJ13" t="s">
        <v>195</v>
      </c>
      <c r="BK13">
        <v>0</v>
      </c>
      <c r="BN13" t="s">
        <v>584</v>
      </c>
      <c r="BO13">
        <v>24</v>
      </c>
      <c r="BP13">
        <v>1</v>
      </c>
    </row>
    <row r="14" spans="1:68" x14ac:dyDescent="0.25">
      <c r="A14" t="s">
        <v>217</v>
      </c>
      <c r="B14" s="1">
        <v>46181</v>
      </c>
      <c r="E14" t="s">
        <v>170</v>
      </c>
      <c r="F14">
        <v>0</v>
      </c>
      <c r="G14" t="s">
        <v>170</v>
      </c>
      <c r="H14">
        <v>8</v>
      </c>
      <c r="J14" t="s">
        <v>170</v>
      </c>
      <c r="L14" t="s">
        <v>187</v>
      </c>
      <c r="M14" t="s">
        <v>188</v>
      </c>
      <c r="P14">
        <v>0</v>
      </c>
      <c r="Q14" t="s">
        <v>197</v>
      </c>
      <c r="R14" t="s">
        <v>174</v>
      </c>
      <c r="S14" t="s">
        <v>190</v>
      </c>
      <c r="T14" t="s">
        <v>191</v>
      </c>
      <c r="U14" t="s">
        <v>209</v>
      </c>
      <c r="V14" t="s">
        <v>210</v>
      </c>
      <c r="Z14" t="s">
        <v>170</v>
      </c>
      <c r="AA14">
        <v>0</v>
      </c>
      <c r="AB14" t="s">
        <v>179</v>
      </c>
      <c r="AC14" t="s">
        <v>170</v>
      </c>
      <c r="AD14" t="s">
        <v>170</v>
      </c>
      <c r="AE14" t="s">
        <v>179</v>
      </c>
      <c r="AF14" t="s">
        <v>180</v>
      </c>
      <c r="AG14" t="s">
        <v>181</v>
      </c>
      <c r="AH14" t="s">
        <v>72</v>
      </c>
      <c r="AI14" t="s">
        <v>210</v>
      </c>
      <c r="AJ14">
        <v>1</v>
      </c>
      <c r="AL14" t="s">
        <v>170</v>
      </c>
      <c r="AM14" t="s">
        <v>170</v>
      </c>
      <c r="AN14" t="s">
        <v>170</v>
      </c>
      <c r="AO14" t="s">
        <v>183</v>
      </c>
      <c r="AP14">
        <v>1</v>
      </c>
      <c r="AQ14" t="s">
        <v>170</v>
      </c>
      <c r="AR14" t="s">
        <v>194</v>
      </c>
      <c r="AS14" t="s">
        <v>185</v>
      </c>
      <c r="AU14">
        <v>44713</v>
      </c>
      <c r="AX14" t="s">
        <v>170</v>
      </c>
      <c r="AY14">
        <v>1035</v>
      </c>
      <c r="AZ14" t="s">
        <v>186</v>
      </c>
      <c r="BA14" t="s">
        <v>185</v>
      </c>
      <c r="BG14" t="s">
        <v>170</v>
      </c>
      <c r="BH14" t="s">
        <v>217</v>
      </c>
      <c r="BJ14" t="s">
        <v>211</v>
      </c>
      <c r="BK14">
        <v>0</v>
      </c>
      <c r="BN14" t="s">
        <v>585</v>
      </c>
      <c r="BO14">
        <v>24</v>
      </c>
      <c r="BP14">
        <v>1</v>
      </c>
    </row>
    <row r="15" spans="1:68" x14ac:dyDescent="0.25">
      <c r="A15" t="s">
        <v>586</v>
      </c>
      <c r="B15" s="1">
        <v>46181</v>
      </c>
      <c r="E15" t="s">
        <v>170</v>
      </c>
      <c r="F15">
        <v>0</v>
      </c>
      <c r="G15" t="s">
        <v>170</v>
      </c>
      <c r="H15">
        <v>8</v>
      </c>
      <c r="J15" t="s">
        <v>170</v>
      </c>
      <c r="L15" t="s">
        <v>187</v>
      </c>
      <c r="M15" t="s">
        <v>188</v>
      </c>
      <c r="P15">
        <v>0</v>
      </c>
      <c r="Q15" t="s">
        <v>173</v>
      </c>
      <c r="R15" t="s">
        <v>174</v>
      </c>
      <c r="S15" t="s">
        <v>190</v>
      </c>
      <c r="T15" t="s">
        <v>191</v>
      </c>
      <c r="U15" t="s">
        <v>201</v>
      </c>
      <c r="V15" t="s">
        <v>202</v>
      </c>
      <c r="Z15" t="s">
        <v>170</v>
      </c>
      <c r="AA15">
        <v>0</v>
      </c>
      <c r="AB15" t="s">
        <v>179</v>
      </c>
      <c r="AC15" t="s">
        <v>170</v>
      </c>
      <c r="AD15" t="s">
        <v>170</v>
      </c>
      <c r="AE15" t="s">
        <v>179</v>
      </c>
      <c r="AF15" t="s">
        <v>180</v>
      </c>
      <c r="AG15" t="s">
        <v>181</v>
      </c>
      <c r="AH15" t="s">
        <v>72</v>
      </c>
      <c r="AI15" t="s">
        <v>202</v>
      </c>
      <c r="AJ15">
        <v>1</v>
      </c>
      <c r="AL15" t="s">
        <v>170</v>
      </c>
      <c r="AM15" t="s">
        <v>170</v>
      </c>
      <c r="AN15" t="s">
        <v>170</v>
      </c>
      <c r="AO15" t="s">
        <v>183</v>
      </c>
      <c r="AP15">
        <v>1</v>
      </c>
      <c r="AQ15" t="s">
        <v>170</v>
      </c>
      <c r="AR15" t="s">
        <v>194</v>
      </c>
      <c r="AS15" t="s">
        <v>185</v>
      </c>
      <c r="AU15">
        <v>42461</v>
      </c>
      <c r="AX15" t="s">
        <v>170</v>
      </c>
      <c r="AY15">
        <v>657</v>
      </c>
      <c r="AZ15" t="s">
        <v>186</v>
      </c>
      <c r="BA15" t="s">
        <v>185</v>
      </c>
      <c r="BG15" t="s">
        <v>170</v>
      </c>
      <c r="BH15" t="s">
        <v>586</v>
      </c>
      <c r="BI15">
        <v>2</v>
      </c>
      <c r="BJ15" t="s">
        <v>211</v>
      </c>
      <c r="BK15">
        <v>0</v>
      </c>
      <c r="BN15" t="s">
        <v>587</v>
      </c>
      <c r="BO15">
        <v>24</v>
      </c>
      <c r="BP15">
        <v>1</v>
      </c>
    </row>
    <row r="16" spans="1:68" x14ac:dyDescent="0.25">
      <c r="A16" t="s">
        <v>221</v>
      </c>
      <c r="B16" s="1">
        <v>46181</v>
      </c>
      <c r="E16" t="s">
        <v>170</v>
      </c>
      <c r="F16">
        <v>0</v>
      </c>
      <c r="G16" t="s">
        <v>170</v>
      </c>
      <c r="H16">
        <v>8</v>
      </c>
      <c r="J16" t="s">
        <v>170</v>
      </c>
      <c r="L16" t="s">
        <v>187</v>
      </c>
      <c r="M16" t="s">
        <v>188</v>
      </c>
      <c r="P16">
        <v>0</v>
      </c>
      <c r="Q16" t="s">
        <v>197</v>
      </c>
      <c r="R16" t="s">
        <v>174</v>
      </c>
      <c r="S16" t="s">
        <v>190</v>
      </c>
      <c r="T16" t="s">
        <v>191</v>
      </c>
      <c r="U16" t="s">
        <v>209</v>
      </c>
      <c r="V16" t="s">
        <v>210</v>
      </c>
      <c r="Z16" t="s">
        <v>170</v>
      </c>
      <c r="AA16">
        <v>0</v>
      </c>
      <c r="AB16" t="s">
        <v>179</v>
      </c>
      <c r="AC16" t="s">
        <v>170</v>
      </c>
      <c r="AD16" t="s">
        <v>170</v>
      </c>
      <c r="AE16" t="s">
        <v>179</v>
      </c>
      <c r="AF16" t="s">
        <v>180</v>
      </c>
      <c r="AG16" t="s">
        <v>181</v>
      </c>
      <c r="AH16" t="s">
        <v>72</v>
      </c>
      <c r="AI16" t="s">
        <v>210</v>
      </c>
      <c r="AJ16">
        <v>1</v>
      </c>
      <c r="AL16" t="s">
        <v>170</v>
      </c>
      <c r="AM16" t="s">
        <v>170</v>
      </c>
      <c r="AN16" t="s">
        <v>170</v>
      </c>
      <c r="AO16" t="s">
        <v>183</v>
      </c>
      <c r="AP16">
        <v>1</v>
      </c>
      <c r="AQ16" t="s">
        <v>170</v>
      </c>
      <c r="AR16" t="s">
        <v>194</v>
      </c>
      <c r="AS16" t="s">
        <v>185</v>
      </c>
      <c r="AU16">
        <v>44501</v>
      </c>
      <c r="AX16" t="s">
        <v>170</v>
      </c>
      <c r="AY16">
        <v>990</v>
      </c>
      <c r="AZ16" t="s">
        <v>186</v>
      </c>
      <c r="BA16" t="s">
        <v>185</v>
      </c>
      <c r="BG16" t="s">
        <v>170</v>
      </c>
      <c r="BH16" t="s">
        <v>221</v>
      </c>
      <c r="BJ16" t="s">
        <v>211</v>
      </c>
      <c r="BK16">
        <v>0</v>
      </c>
      <c r="BN16" t="s">
        <v>588</v>
      </c>
      <c r="BO16">
        <v>24</v>
      </c>
      <c r="BP16">
        <v>1</v>
      </c>
    </row>
    <row r="17" spans="1:68" x14ac:dyDescent="0.25">
      <c r="A17" t="s">
        <v>223</v>
      </c>
      <c r="B17" s="1">
        <v>46181</v>
      </c>
      <c r="E17" t="s">
        <v>170</v>
      </c>
      <c r="F17">
        <v>0</v>
      </c>
      <c r="G17" t="s">
        <v>170</v>
      </c>
      <c r="H17">
        <v>7.67</v>
      </c>
      <c r="J17" t="s">
        <v>170</v>
      </c>
      <c r="L17" t="s">
        <v>208</v>
      </c>
      <c r="M17" t="s">
        <v>188</v>
      </c>
      <c r="P17">
        <v>0</v>
      </c>
      <c r="Q17" t="s">
        <v>197</v>
      </c>
      <c r="R17" t="s">
        <v>174</v>
      </c>
      <c r="S17" t="s">
        <v>190</v>
      </c>
      <c r="T17" t="s">
        <v>191</v>
      </c>
      <c r="U17" t="s">
        <v>209</v>
      </c>
      <c r="V17" t="s">
        <v>210</v>
      </c>
      <c r="Z17" t="s">
        <v>170</v>
      </c>
      <c r="AA17">
        <v>0</v>
      </c>
      <c r="AB17" t="s">
        <v>179</v>
      </c>
      <c r="AC17" t="s">
        <v>170</v>
      </c>
      <c r="AD17" t="s">
        <v>170</v>
      </c>
      <c r="AE17" t="s">
        <v>179</v>
      </c>
      <c r="AF17" t="s">
        <v>180</v>
      </c>
      <c r="AG17" t="s">
        <v>181</v>
      </c>
      <c r="AH17" t="s">
        <v>73</v>
      </c>
      <c r="AI17" t="s">
        <v>210</v>
      </c>
      <c r="AJ17">
        <v>1</v>
      </c>
      <c r="AL17" t="s">
        <v>170</v>
      </c>
      <c r="AM17" t="s">
        <v>170</v>
      </c>
      <c r="AN17" t="s">
        <v>170</v>
      </c>
      <c r="AO17" t="s">
        <v>183</v>
      </c>
      <c r="AP17">
        <v>1</v>
      </c>
      <c r="AQ17" t="s">
        <v>170</v>
      </c>
      <c r="AR17" t="s">
        <v>194</v>
      </c>
      <c r="AS17" t="s">
        <v>185</v>
      </c>
      <c r="AU17">
        <v>42705</v>
      </c>
      <c r="AX17" t="s">
        <v>170</v>
      </c>
      <c r="AY17">
        <v>711</v>
      </c>
      <c r="AZ17" t="s">
        <v>186</v>
      </c>
      <c r="BA17" t="s">
        <v>185</v>
      </c>
      <c r="BG17" t="s">
        <v>170</v>
      </c>
      <c r="BH17" t="s">
        <v>223</v>
      </c>
      <c r="BI17">
        <v>2</v>
      </c>
      <c r="BJ17" t="s">
        <v>195</v>
      </c>
      <c r="BK17">
        <v>0</v>
      </c>
      <c r="BN17" t="s">
        <v>589</v>
      </c>
      <c r="BO17">
        <v>24</v>
      </c>
      <c r="BP17">
        <v>1</v>
      </c>
    </row>
    <row r="18" spans="1:68" x14ac:dyDescent="0.25">
      <c r="A18" t="s">
        <v>224</v>
      </c>
      <c r="B18" s="1">
        <v>46181</v>
      </c>
      <c r="E18" t="s">
        <v>170</v>
      </c>
      <c r="F18">
        <v>0</v>
      </c>
      <c r="G18" t="s">
        <v>170</v>
      </c>
      <c r="H18">
        <v>8</v>
      </c>
      <c r="J18" t="s">
        <v>170</v>
      </c>
      <c r="L18" t="s">
        <v>187</v>
      </c>
      <c r="M18" t="s">
        <v>188</v>
      </c>
      <c r="P18">
        <v>0</v>
      </c>
      <c r="Q18" t="s">
        <v>197</v>
      </c>
      <c r="R18" t="s">
        <v>174</v>
      </c>
      <c r="S18" t="s">
        <v>190</v>
      </c>
      <c r="T18" t="s">
        <v>225</v>
      </c>
      <c r="U18" t="s">
        <v>209</v>
      </c>
      <c r="V18" t="s">
        <v>210</v>
      </c>
      <c r="Z18" t="s">
        <v>170</v>
      </c>
      <c r="AA18">
        <v>0</v>
      </c>
      <c r="AB18" t="s">
        <v>179</v>
      </c>
      <c r="AC18" t="s">
        <v>170</v>
      </c>
      <c r="AD18" t="s">
        <v>170</v>
      </c>
      <c r="AE18" t="s">
        <v>179</v>
      </c>
      <c r="AF18" t="s">
        <v>180</v>
      </c>
      <c r="AG18" t="s">
        <v>181</v>
      </c>
      <c r="AH18" t="s">
        <v>72</v>
      </c>
      <c r="AI18" t="s">
        <v>210</v>
      </c>
      <c r="AJ18">
        <v>1</v>
      </c>
      <c r="AL18" t="s">
        <v>170</v>
      </c>
      <c r="AM18" t="s">
        <v>170</v>
      </c>
      <c r="AN18" t="s">
        <v>170</v>
      </c>
      <c r="AO18" t="s">
        <v>183</v>
      </c>
      <c r="AP18">
        <v>1</v>
      </c>
      <c r="AQ18" t="s">
        <v>170</v>
      </c>
      <c r="AR18" t="s">
        <v>194</v>
      </c>
      <c r="AS18" t="s">
        <v>185</v>
      </c>
      <c r="AU18">
        <v>45719</v>
      </c>
      <c r="AX18" t="s">
        <v>170</v>
      </c>
      <c r="AY18">
        <v>1196</v>
      </c>
      <c r="AZ18" t="s">
        <v>186</v>
      </c>
      <c r="BA18" t="s">
        <v>185</v>
      </c>
      <c r="BG18" t="s">
        <v>170</v>
      </c>
      <c r="BH18" t="s">
        <v>224</v>
      </c>
      <c r="BJ18" t="s">
        <v>211</v>
      </c>
      <c r="BK18">
        <v>0</v>
      </c>
      <c r="BN18" t="s">
        <v>590</v>
      </c>
      <c r="BO18">
        <v>24</v>
      </c>
      <c r="BP18">
        <v>1</v>
      </c>
    </row>
    <row r="19" spans="1:68" x14ac:dyDescent="0.25">
      <c r="A19" t="s">
        <v>591</v>
      </c>
      <c r="B19" s="1">
        <v>46181</v>
      </c>
      <c r="E19" t="s">
        <v>170</v>
      </c>
      <c r="F19">
        <v>0</v>
      </c>
      <c r="G19" t="s">
        <v>170</v>
      </c>
      <c r="H19">
        <v>7.67</v>
      </c>
      <c r="J19" t="s">
        <v>170</v>
      </c>
      <c r="L19" t="s">
        <v>208</v>
      </c>
      <c r="M19" t="s">
        <v>188</v>
      </c>
      <c r="P19">
        <v>0</v>
      </c>
      <c r="Q19" t="s">
        <v>197</v>
      </c>
      <c r="R19" t="s">
        <v>174</v>
      </c>
      <c r="S19" t="s">
        <v>190</v>
      </c>
      <c r="T19" t="s">
        <v>191</v>
      </c>
      <c r="U19" t="s">
        <v>215</v>
      </c>
      <c r="V19" t="s">
        <v>216</v>
      </c>
      <c r="Z19" t="s">
        <v>170</v>
      </c>
      <c r="AA19">
        <v>0</v>
      </c>
      <c r="AB19" t="s">
        <v>179</v>
      </c>
      <c r="AC19" t="s">
        <v>170</v>
      </c>
      <c r="AD19" t="s">
        <v>170</v>
      </c>
      <c r="AE19" t="s">
        <v>179</v>
      </c>
      <c r="AF19" t="s">
        <v>180</v>
      </c>
      <c r="AG19" t="s">
        <v>181</v>
      </c>
      <c r="AH19" t="s">
        <v>73</v>
      </c>
      <c r="AI19" t="s">
        <v>216</v>
      </c>
      <c r="AJ19">
        <v>1</v>
      </c>
      <c r="AL19" t="s">
        <v>170</v>
      </c>
      <c r="AM19" t="s">
        <v>170</v>
      </c>
      <c r="AN19" t="s">
        <v>170</v>
      </c>
      <c r="AO19" t="s">
        <v>183</v>
      </c>
      <c r="AP19">
        <v>1</v>
      </c>
      <c r="AQ19" t="s">
        <v>170</v>
      </c>
      <c r="AR19" t="s">
        <v>194</v>
      </c>
      <c r="AS19" t="s">
        <v>185</v>
      </c>
      <c r="AU19">
        <v>39517</v>
      </c>
      <c r="AX19" t="s">
        <v>170</v>
      </c>
      <c r="AY19">
        <v>307</v>
      </c>
      <c r="AZ19" t="s">
        <v>186</v>
      </c>
      <c r="BA19" t="s">
        <v>185</v>
      </c>
      <c r="BG19" t="s">
        <v>170</v>
      </c>
      <c r="BH19" t="s">
        <v>591</v>
      </c>
      <c r="BI19">
        <v>2</v>
      </c>
      <c r="BJ19" t="s">
        <v>195</v>
      </c>
      <c r="BK19">
        <v>0</v>
      </c>
      <c r="BN19" t="s">
        <v>592</v>
      </c>
      <c r="BO19">
        <v>24</v>
      </c>
      <c r="BP19">
        <v>1</v>
      </c>
    </row>
    <row r="20" spans="1:68" x14ac:dyDescent="0.25">
      <c r="A20" t="s">
        <v>291</v>
      </c>
      <c r="B20" s="1">
        <v>46181</v>
      </c>
      <c r="E20" t="s">
        <v>170</v>
      </c>
      <c r="F20">
        <v>0</v>
      </c>
      <c r="G20" t="s">
        <v>170</v>
      </c>
      <c r="H20">
        <v>7.67</v>
      </c>
      <c r="J20" t="s">
        <v>170</v>
      </c>
      <c r="L20" t="s">
        <v>208</v>
      </c>
      <c r="M20" t="s">
        <v>188</v>
      </c>
      <c r="P20">
        <v>0</v>
      </c>
      <c r="Q20" t="s">
        <v>197</v>
      </c>
      <c r="R20" t="s">
        <v>174</v>
      </c>
      <c r="S20" t="s">
        <v>190</v>
      </c>
      <c r="T20" t="s">
        <v>191</v>
      </c>
      <c r="U20" t="s">
        <v>209</v>
      </c>
      <c r="V20" t="s">
        <v>210</v>
      </c>
      <c r="Z20" t="s">
        <v>170</v>
      </c>
      <c r="AA20">
        <v>0</v>
      </c>
      <c r="AB20" t="s">
        <v>179</v>
      </c>
      <c r="AC20" t="s">
        <v>170</v>
      </c>
      <c r="AD20" t="s">
        <v>170</v>
      </c>
      <c r="AE20" t="s">
        <v>179</v>
      </c>
      <c r="AF20" t="s">
        <v>180</v>
      </c>
      <c r="AG20" t="s">
        <v>181</v>
      </c>
      <c r="AH20" t="s">
        <v>73</v>
      </c>
      <c r="AI20" t="s">
        <v>210</v>
      </c>
      <c r="AJ20">
        <v>1</v>
      </c>
      <c r="AL20" t="s">
        <v>170</v>
      </c>
      <c r="AM20" t="s">
        <v>170</v>
      </c>
      <c r="AN20" t="s">
        <v>170</v>
      </c>
      <c r="AO20" t="s">
        <v>183</v>
      </c>
      <c r="AP20">
        <v>1</v>
      </c>
      <c r="AQ20" t="s">
        <v>170</v>
      </c>
      <c r="AR20" t="s">
        <v>194</v>
      </c>
      <c r="AS20" t="s">
        <v>185</v>
      </c>
      <c r="AU20">
        <v>44743</v>
      </c>
      <c r="AX20" t="s">
        <v>170</v>
      </c>
      <c r="AY20">
        <v>1060</v>
      </c>
      <c r="AZ20" t="s">
        <v>186</v>
      </c>
      <c r="BA20" t="s">
        <v>185</v>
      </c>
      <c r="BG20" t="s">
        <v>170</v>
      </c>
      <c r="BH20" t="s">
        <v>291</v>
      </c>
      <c r="BJ20" t="s">
        <v>195</v>
      </c>
      <c r="BK20">
        <v>0</v>
      </c>
      <c r="BN20" t="s">
        <v>593</v>
      </c>
      <c r="BO20">
        <v>24</v>
      </c>
      <c r="BP20">
        <v>1</v>
      </c>
    </row>
    <row r="21" spans="1:68" x14ac:dyDescent="0.25">
      <c r="A21" t="s">
        <v>227</v>
      </c>
      <c r="B21" s="1">
        <v>46181</v>
      </c>
      <c r="E21" t="s">
        <v>170</v>
      </c>
      <c r="F21">
        <v>0</v>
      </c>
      <c r="G21" t="s">
        <v>170</v>
      </c>
      <c r="H21">
        <v>7.67</v>
      </c>
      <c r="J21" t="s">
        <v>170</v>
      </c>
      <c r="L21" t="s">
        <v>208</v>
      </c>
      <c r="M21" t="s">
        <v>188</v>
      </c>
      <c r="P21">
        <v>0</v>
      </c>
      <c r="Q21" t="s">
        <v>197</v>
      </c>
      <c r="R21" t="s">
        <v>174</v>
      </c>
      <c r="S21" t="s">
        <v>190</v>
      </c>
      <c r="T21" t="s">
        <v>191</v>
      </c>
      <c r="U21" t="s">
        <v>198</v>
      </c>
      <c r="V21" t="s">
        <v>199</v>
      </c>
      <c r="Z21" t="s">
        <v>170</v>
      </c>
      <c r="AA21">
        <v>0</v>
      </c>
      <c r="AB21" t="s">
        <v>179</v>
      </c>
      <c r="AC21" t="s">
        <v>170</v>
      </c>
      <c r="AD21" t="s">
        <v>170</v>
      </c>
      <c r="AE21" t="s">
        <v>179</v>
      </c>
      <c r="AF21" t="s">
        <v>180</v>
      </c>
      <c r="AG21" t="s">
        <v>181</v>
      </c>
      <c r="AH21" t="s">
        <v>73</v>
      </c>
      <c r="AI21" t="s">
        <v>199</v>
      </c>
      <c r="AJ21">
        <v>1</v>
      </c>
      <c r="AL21" t="s">
        <v>170</v>
      </c>
      <c r="AM21" t="s">
        <v>170</v>
      </c>
      <c r="AN21" t="s">
        <v>170</v>
      </c>
      <c r="AO21" t="s">
        <v>183</v>
      </c>
      <c r="AP21">
        <v>1</v>
      </c>
      <c r="AQ21" t="s">
        <v>170</v>
      </c>
      <c r="AR21" t="s">
        <v>194</v>
      </c>
      <c r="AS21" t="s">
        <v>185</v>
      </c>
      <c r="AU21">
        <v>40793</v>
      </c>
      <c r="AX21" t="s">
        <v>170</v>
      </c>
      <c r="AY21">
        <v>482</v>
      </c>
      <c r="AZ21" t="s">
        <v>186</v>
      </c>
      <c r="BA21" t="s">
        <v>185</v>
      </c>
      <c r="BG21" t="s">
        <v>170</v>
      </c>
      <c r="BH21" t="s">
        <v>227</v>
      </c>
      <c r="BI21">
        <v>1</v>
      </c>
      <c r="BJ21" t="s">
        <v>195</v>
      </c>
      <c r="BK21">
        <v>0</v>
      </c>
      <c r="BN21" t="s">
        <v>594</v>
      </c>
      <c r="BO21">
        <v>24</v>
      </c>
      <c r="BP21">
        <v>1</v>
      </c>
    </row>
    <row r="22" spans="1:68" x14ac:dyDescent="0.25">
      <c r="A22" t="s">
        <v>234</v>
      </c>
      <c r="B22" s="1">
        <v>46181</v>
      </c>
      <c r="E22" t="s">
        <v>170</v>
      </c>
      <c r="F22">
        <v>0</v>
      </c>
      <c r="G22" t="s">
        <v>170</v>
      </c>
      <c r="H22">
        <v>8</v>
      </c>
      <c r="J22" t="s">
        <v>170</v>
      </c>
      <c r="L22" t="s">
        <v>187</v>
      </c>
      <c r="M22" t="s">
        <v>188</v>
      </c>
      <c r="P22">
        <v>0</v>
      </c>
      <c r="Q22" t="s">
        <v>197</v>
      </c>
      <c r="R22" t="s">
        <v>174</v>
      </c>
      <c r="S22" t="s">
        <v>190</v>
      </c>
      <c r="T22" t="s">
        <v>191</v>
      </c>
      <c r="U22" t="s">
        <v>198</v>
      </c>
      <c r="V22" t="s">
        <v>199</v>
      </c>
      <c r="Z22" t="s">
        <v>170</v>
      </c>
      <c r="AA22">
        <v>0</v>
      </c>
      <c r="AB22" t="s">
        <v>179</v>
      </c>
      <c r="AC22" t="s">
        <v>170</v>
      </c>
      <c r="AD22" t="s">
        <v>170</v>
      </c>
      <c r="AE22" t="s">
        <v>179</v>
      </c>
      <c r="AF22" t="s">
        <v>180</v>
      </c>
      <c r="AG22" t="s">
        <v>181</v>
      </c>
      <c r="AH22" t="s">
        <v>72</v>
      </c>
      <c r="AI22" t="s">
        <v>199</v>
      </c>
      <c r="AJ22">
        <v>1</v>
      </c>
      <c r="AL22" t="s">
        <v>170</v>
      </c>
      <c r="AM22" t="s">
        <v>170</v>
      </c>
      <c r="AN22" t="s">
        <v>170</v>
      </c>
      <c r="AO22" t="s">
        <v>183</v>
      </c>
      <c r="AP22">
        <v>1</v>
      </c>
      <c r="AQ22" t="s">
        <v>170</v>
      </c>
      <c r="AR22" t="s">
        <v>194</v>
      </c>
      <c r="AS22" t="s">
        <v>185</v>
      </c>
      <c r="AU22">
        <v>43313</v>
      </c>
      <c r="AX22" t="s">
        <v>170</v>
      </c>
      <c r="AY22">
        <v>827</v>
      </c>
      <c r="AZ22" t="s">
        <v>186</v>
      </c>
      <c r="BA22" t="s">
        <v>185</v>
      </c>
      <c r="BG22" t="s">
        <v>170</v>
      </c>
      <c r="BH22" t="s">
        <v>234</v>
      </c>
      <c r="BJ22" t="s">
        <v>211</v>
      </c>
      <c r="BK22">
        <v>0</v>
      </c>
      <c r="BN22" t="s">
        <v>595</v>
      </c>
      <c r="BO22">
        <v>24</v>
      </c>
      <c r="BP22">
        <v>1</v>
      </c>
    </row>
    <row r="23" spans="1:68" x14ac:dyDescent="0.25">
      <c r="A23" t="s">
        <v>235</v>
      </c>
      <c r="B23" s="1">
        <v>46181</v>
      </c>
      <c r="E23" t="s">
        <v>170</v>
      </c>
      <c r="F23">
        <v>0</v>
      </c>
      <c r="G23" t="s">
        <v>170</v>
      </c>
      <c r="H23">
        <v>7.67</v>
      </c>
      <c r="J23" t="s">
        <v>170</v>
      </c>
      <c r="L23" t="s">
        <v>208</v>
      </c>
      <c r="M23" t="s">
        <v>172</v>
      </c>
      <c r="P23">
        <v>0</v>
      </c>
      <c r="Q23" t="s">
        <v>197</v>
      </c>
      <c r="R23" t="s">
        <v>174</v>
      </c>
      <c r="S23" t="s">
        <v>190</v>
      </c>
      <c r="T23" t="s">
        <v>191</v>
      </c>
      <c r="U23" t="s">
        <v>198</v>
      </c>
      <c r="V23" t="s">
        <v>199</v>
      </c>
      <c r="Z23" t="s">
        <v>170</v>
      </c>
      <c r="AA23">
        <v>0</v>
      </c>
      <c r="AB23" t="s">
        <v>179</v>
      </c>
      <c r="AC23" t="s">
        <v>170</v>
      </c>
      <c r="AD23" t="s">
        <v>170</v>
      </c>
      <c r="AE23" t="s">
        <v>179</v>
      </c>
      <c r="AF23" t="s">
        <v>180</v>
      </c>
      <c r="AG23" t="s">
        <v>181</v>
      </c>
      <c r="AH23" t="s">
        <v>73</v>
      </c>
      <c r="AI23" t="s">
        <v>199</v>
      </c>
      <c r="AJ23">
        <v>1</v>
      </c>
      <c r="AL23" t="s">
        <v>170</v>
      </c>
      <c r="AM23" t="s">
        <v>170</v>
      </c>
      <c r="AN23" t="s">
        <v>170</v>
      </c>
      <c r="AO23" t="s">
        <v>183</v>
      </c>
      <c r="AP23">
        <v>1</v>
      </c>
      <c r="AQ23" t="s">
        <v>170</v>
      </c>
      <c r="AR23" t="s">
        <v>184</v>
      </c>
      <c r="AS23" t="s">
        <v>185</v>
      </c>
      <c r="AU23">
        <v>43252</v>
      </c>
      <c r="AX23" t="s">
        <v>170</v>
      </c>
      <c r="AY23">
        <v>812</v>
      </c>
      <c r="AZ23" t="s">
        <v>186</v>
      </c>
      <c r="BA23" t="s">
        <v>185</v>
      </c>
      <c r="BG23" t="s">
        <v>170</v>
      </c>
      <c r="BH23" t="s">
        <v>235</v>
      </c>
      <c r="BI23">
        <v>3</v>
      </c>
      <c r="BJ23" t="s">
        <v>195</v>
      </c>
      <c r="BK23">
        <v>0</v>
      </c>
      <c r="BN23" t="s">
        <v>596</v>
      </c>
      <c r="BO23">
        <v>24</v>
      </c>
      <c r="BP23">
        <v>1</v>
      </c>
    </row>
    <row r="24" spans="1:68" x14ac:dyDescent="0.25">
      <c r="A24" t="s">
        <v>443</v>
      </c>
      <c r="B24" s="1">
        <v>46181</v>
      </c>
      <c r="E24" t="s">
        <v>170</v>
      </c>
      <c r="F24">
        <v>0</v>
      </c>
      <c r="G24" t="s">
        <v>170</v>
      </c>
      <c r="H24">
        <v>8</v>
      </c>
      <c r="J24" t="s">
        <v>170</v>
      </c>
      <c r="L24" t="s">
        <v>187</v>
      </c>
      <c r="M24" t="s">
        <v>188</v>
      </c>
      <c r="P24">
        <v>0</v>
      </c>
      <c r="Q24" t="s">
        <v>197</v>
      </c>
      <c r="R24" t="s">
        <v>174</v>
      </c>
      <c r="S24" t="s">
        <v>190</v>
      </c>
      <c r="T24" t="s">
        <v>191</v>
      </c>
      <c r="U24" t="s">
        <v>198</v>
      </c>
      <c r="V24" t="s">
        <v>199</v>
      </c>
      <c r="Z24" t="s">
        <v>170</v>
      </c>
      <c r="AA24">
        <v>0</v>
      </c>
      <c r="AB24" t="s">
        <v>179</v>
      </c>
      <c r="AC24" t="s">
        <v>170</v>
      </c>
      <c r="AD24" t="s">
        <v>170</v>
      </c>
      <c r="AE24" t="s">
        <v>179</v>
      </c>
      <c r="AF24" t="s">
        <v>180</v>
      </c>
      <c r="AG24" t="s">
        <v>181</v>
      </c>
      <c r="AH24" t="s">
        <v>72</v>
      </c>
      <c r="AI24" t="s">
        <v>199</v>
      </c>
      <c r="AJ24">
        <v>1</v>
      </c>
      <c r="AL24" t="s">
        <v>170</v>
      </c>
      <c r="AM24" t="s">
        <v>170</v>
      </c>
      <c r="AN24" t="s">
        <v>170</v>
      </c>
      <c r="AO24" t="s">
        <v>183</v>
      </c>
      <c r="AP24">
        <v>1</v>
      </c>
      <c r="AQ24" t="s">
        <v>170</v>
      </c>
      <c r="AR24" t="s">
        <v>194</v>
      </c>
      <c r="AS24" t="s">
        <v>185</v>
      </c>
      <c r="AU24">
        <v>44378</v>
      </c>
      <c r="AX24" t="s">
        <v>170</v>
      </c>
      <c r="AY24">
        <v>941</v>
      </c>
      <c r="AZ24" t="s">
        <v>186</v>
      </c>
      <c r="BA24" t="s">
        <v>185</v>
      </c>
      <c r="BG24" t="s">
        <v>170</v>
      </c>
      <c r="BH24" t="s">
        <v>443</v>
      </c>
      <c r="BJ24" t="s">
        <v>211</v>
      </c>
      <c r="BK24">
        <v>0</v>
      </c>
      <c r="BN24" t="s">
        <v>597</v>
      </c>
      <c r="BO24">
        <v>24</v>
      </c>
      <c r="BP24">
        <v>1</v>
      </c>
    </row>
    <row r="25" spans="1:68" x14ac:dyDescent="0.25">
      <c r="A25" t="s">
        <v>400</v>
      </c>
      <c r="B25" s="1">
        <v>46181</v>
      </c>
      <c r="E25" t="s">
        <v>170</v>
      </c>
      <c r="F25">
        <v>0</v>
      </c>
      <c r="G25" t="s">
        <v>170</v>
      </c>
      <c r="H25">
        <v>8</v>
      </c>
      <c r="J25" t="s">
        <v>170</v>
      </c>
      <c r="L25" t="s">
        <v>187</v>
      </c>
      <c r="M25" t="s">
        <v>172</v>
      </c>
      <c r="P25">
        <v>0</v>
      </c>
      <c r="Q25" t="s">
        <v>197</v>
      </c>
      <c r="R25" t="s">
        <v>256</v>
      </c>
      <c r="S25" t="s">
        <v>190</v>
      </c>
      <c r="T25" t="s">
        <v>191</v>
      </c>
      <c r="U25" t="s">
        <v>215</v>
      </c>
      <c r="V25" t="s">
        <v>216</v>
      </c>
      <c r="Z25" t="s">
        <v>170</v>
      </c>
      <c r="AA25">
        <v>0</v>
      </c>
      <c r="AB25" t="s">
        <v>179</v>
      </c>
      <c r="AC25" t="s">
        <v>170</v>
      </c>
      <c r="AD25" t="s">
        <v>170</v>
      </c>
      <c r="AE25" t="s">
        <v>179</v>
      </c>
      <c r="AF25" t="s">
        <v>180</v>
      </c>
      <c r="AG25" t="s">
        <v>181</v>
      </c>
      <c r="AH25" t="s">
        <v>72</v>
      </c>
      <c r="AI25" t="s">
        <v>216</v>
      </c>
      <c r="AJ25">
        <v>1</v>
      </c>
      <c r="AL25" t="s">
        <v>170</v>
      </c>
      <c r="AM25" t="s">
        <v>170</v>
      </c>
      <c r="AN25" t="s">
        <v>170</v>
      </c>
      <c r="AO25" t="s">
        <v>256</v>
      </c>
      <c r="AP25">
        <v>1</v>
      </c>
      <c r="AQ25" t="s">
        <v>170</v>
      </c>
      <c r="AR25" t="s">
        <v>184</v>
      </c>
      <c r="AS25" t="s">
        <v>185</v>
      </c>
      <c r="AU25">
        <v>42675</v>
      </c>
      <c r="AX25" t="s">
        <v>170</v>
      </c>
      <c r="AY25">
        <v>702</v>
      </c>
      <c r="AZ25" t="s">
        <v>186</v>
      </c>
      <c r="BA25" t="s">
        <v>185</v>
      </c>
      <c r="BG25" t="s">
        <v>170</v>
      </c>
      <c r="BH25" t="s">
        <v>400</v>
      </c>
      <c r="BI25">
        <v>2</v>
      </c>
      <c r="BJ25" t="s">
        <v>211</v>
      </c>
      <c r="BK25">
        <v>0</v>
      </c>
      <c r="BN25" t="s">
        <v>598</v>
      </c>
      <c r="BO25">
        <v>24</v>
      </c>
      <c r="BP25">
        <v>1</v>
      </c>
    </row>
    <row r="26" spans="1:68" x14ac:dyDescent="0.25">
      <c r="A26" t="s">
        <v>305</v>
      </c>
      <c r="B26" s="1">
        <v>46181</v>
      </c>
      <c r="E26" t="s">
        <v>170</v>
      </c>
      <c r="F26">
        <v>0</v>
      </c>
      <c r="G26" t="s">
        <v>170</v>
      </c>
      <c r="H26">
        <v>8</v>
      </c>
      <c r="J26" t="s">
        <v>170</v>
      </c>
      <c r="L26" t="s">
        <v>187</v>
      </c>
      <c r="M26" t="s">
        <v>188</v>
      </c>
      <c r="P26">
        <v>0</v>
      </c>
      <c r="Q26" t="s">
        <v>197</v>
      </c>
      <c r="R26" t="s">
        <v>174</v>
      </c>
      <c r="S26" t="s">
        <v>190</v>
      </c>
      <c r="T26" t="s">
        <v>191</v>
      </c>
      <c r="U26" t="s">
        <v>209</v>
      </c>
      <c r="V26" t="s">
        <v>210</v>
      </c>
      <c r="Z26" t="s">
        <v>170</v>
      </c>
      <c r="AA26">
        <v>0</v>
      </c>
      <c r="AB26" t="s">
        <v>179</v>
      </c>
      <c r="AC26" t="s">
        <v>170</v>
      </c>
      <c r="AD26" t="s">
        <v>170</v>
      </c>
      <c r="AE26" t="s">
        <v>179</v>
      </c>
      <c r="AF26" t="s">
        <v>180</v>
      </c>
      <c r="AG26" t="s">
        <v>181</v>
      </c>
      <c r="AH26" t="s">
        <v>72</v>
      </c>
      <c r="AI26" t="s">
        <v>210</v>
      </c>
      <c r="AJ26">
        <v>1</v>
      </c>
      <c r="AL26" t="s">
        <v>170</v>
      </c>
      <c r="AM26" t="s">
        <v>170</v>
      </c>
      <c r="AN26" t="s">
        <v>170</v>
      </c>
      <c r="AO26" t="s">
        <v>183</v>
      </c>
      <c r="AP26">
        <v>1</v>
      </c>
      <c r="AQ26" t="s">
        <v>170</v>
      </c>
      <c r="AR26" t="s">
        <v>194</v>
      </c>
      <c r="AS26" t="s">
        <v>185</v>
      </c>
      <c r="AU26">
        <v>39517</v>
      </c>
      <c r="AX26" t="s">
        <v>170</v>
      </c>
      <c r="AY26">
        <v>308</v>
      </c>
      <c r="AZ26" t="s">
        <v>186</v>
      </c>
      <c r="BA26" t="s">
        <v>185</v>
      </c>
      <c r="BG26" t="s">
        <v>170</v>
      </c>
      <c r="BH26" t="s">
        <v>305</v>
      </c>
      <c r="BI26">
        <v>2</v>
      </c>
      <c r="BJ26" t="s">
        <v>211</v>
      </c>
      <c r="BK26">
        <v>0</v>
      </c>
      <c r="BN26" t="s">
        <v>599</v>
      </c>
      <c r="BO26">
        <v>24</v>
      </c>
      <c r="BP26">
        <v>1</v>
      </c>
    </row>
    <row r="27" spans="1:68" x14ac:dyDescent="0.25">
      <c r="A27" t="s">
        <v>238</v>
      </c>
      <c r="B27" s="1">
        <v>46181</v>
      </c>
      <c r="E27" t="s">
        <v>170</v>
      </c>
      <c r="F27">
        <v>0</v>
      </c>
      <c r="G27" t="s">
        <v>170</v>
      </c>
      <c r="H27">
        <v>8</v>
      </c>
      <c r="J27" t="s">
        <v>170</v>
      </c>
      <c r="L27" t="s">
        <v>187</v>
      </c>
      <c r="M27" t="s">
        <v>188</v>
      </c>
      <c r="P27">
        <v>0</v>
      </c>
      <c r="Q27" t="s">
        <v>173</v>
      </c>
      <c r="R27" t="s">
        <v>189</v>
      </c>
      <c r="S27" t="s">
        <v>190</v>
      </c>
      <c r="T27" t="s">
        <v>191</v>
      </c>
      <c r="U27" t="s">
        <v>201</v>
      </c>
      <c r="V27" t="s">
        <v>202</v>
      </c>
      <c r="Z27" t="s">
        <v>170</v>
      </c>
      <c r="AA27">
        <v>0</v>
      </c>
      <c r="AB27" t="s">
        <v>179</v>
      </c>
      <c r="AC27" t="s">
        <v>170</v>
      </c>
      <c r="AD27" t="s">
        <v>170</v>
      </c>
      <c r="AE27" t="s">
        <v>179</v>
      </c>
      <c r="AF27" t="s">
        <v>180</v>
      </c>
      <c r="AG27" t="s">
        <v>181</v>
      </c>
      <c r="AH27" t="s">
        <v>72</v>
      </c>
      <c r="AI27" t="s">
        <v>202</v>
      </c>
      <c r="AJ27">
        <v>1</v>
      </c>
      <c r="AL27" t="s">
        <v>170</v>
      </c>
      <c r="AM27" t="s">
        <v>170</v>
      </c>
      <c r="AN27" t="s">
        <v>170</v>
      </c>
      <c r="AO27" t="s">
        <v>183</v>
      </c>
      <c r="AP27">
        <v>1</v>
      </c>
      <c r="AQ27" t="s">
        <v>170</v>
      </c>
      <c r="AR27" t="s">
        <v>194</v>
      </c>
      <c r="AS27" t="s">
        <v>185</v>
      </c>
      <c r="AU27">
        <v>39741</v>
      </c>
      <c r="AX27" t="s">
        <v>170</v>
      </c>
      <c r="AY27">
        <v>345</v>
      </c>
      <c r="AZ27" t="s">
        <v>186</v>
      </c>
      <c r="BA27" t="s">
        <v>185</v>
      </c>
      <c r="BG27" t="s">
        <v>170</v>
      </c>
      <c r="BH27" t="s">
        <v>238</v>
      </c>
      <c r="BJ27" t="s">
        <v>211</v>
      </c>
      <c r="BK27">
        <v>0</v>
      </c>
      <c r="BN27" t="s">
        <v>600</v>
      </c>
      <c r="BO27">
        <v>24</v>
      </c>
      <c r="BP27">
        <v>1</v>
      </c>
    </row>
    <row r="28" spans="1:68" x14ac:dyDescent="0.25">
      <c r="A28" t="s">
        <v>239</v>
      </c>
      <c r="B28" s="1">
        <v>46181</v>
      </c>
      <c r="E28" t="s">
        <v>170</v>
      </c>
      <c r="F28">
        <v>0</v>
      </c>
      <c r="G28" t="s">
        <v>170</v>
      </c>
      <c r="H28">
        <v>8</v>
      </c>
      <c r="J28" t="s">
        <v>170</v>
      </c>
      <c r="L28" t="s">
        <v>187</v>
      </c>
      <c r="M28" t="s">
        <v>172</v>
      </c>
      <c r="P28">
        <v>0</v>
      </c>
      <c r="Q28" t="s">
        <v>197</v>
      </c>
      <c r="R28" t="s">
        <v>174</v>
      </c>
      <c r="S28" t="s">
        <v>190</v>
      </c>
      <c r="T28" t="s">
        <v>191</v>
      </c>
      <c r="U28" t="s">
        <v>209</v>
      </c>
      <c r="V28" t="s">
        <v>210</v>
      </c>
      <c r="Z28" t="s">
        <v>170</v>
      </c>
      <c r="AA28">
        <v>0</v>
      </c>
      <c r="AB28" t="s">
        <v>179</v>
      </c>
      <c r="AC28" t="s">
        <v>170</v>
      </c>
      <c r="AD28" t="s">
        <v>170</v>
      </c>
      <c r="AE28" t="s">
        <v>179</v>
      </c>
      <c r="AF28" t="s">
        <v>180</v>
      </c>
      <c r="AG28" t="s">
        <v>181</v>
      </c>
      <c r="AH28" t="s">
        <v>72</v>
      </c>
      <c r="AI28" t="s">
        <v>210</v>
      </c>
      <c r="AJ28">
        <v>1</v>
      </c>
      <c r="AL28" t="s">
        <v>170</v>
      </c>
      <c r="AM28" t="s">
        <v>170</v>
      </c>
      <c r="AN28" t="s">
        <v>170</v>
      </c>
      <c r="AO28" t="s">
        <v>183</v>
      </c>
      <c r="AP28">
        <v>1</v>
      </c>
      <c r="AQ28" t="s">
        <v>170</v>
      </c>
      <c r="AR28" t="s">
        <v>184</v>
      </c>
      <c r="AS28" t="s">
        <v>185</v>
      </c>
      <c r="AU28">
        <v>39455</v>
      </c>
      <c r="AX28" t="s">
        <v>170</v>
      </c>
      <c r="AY28">
        <v>281</v>
      </c>
      <c r="AZ28" t="s">
        <v>186</v>
      </c>
      <c r="BA28" t="s">
        <v>185</v>
      </c>
      <c r="BG28" t="s">
        <v>170</v>
      </c>
      <c r="BH28" t="s">
        <v>239</v>
      </c>
      <c r="BI28">
        <v>1</v>
      </c>
      <c r="BJ28" t="s">
        <v>220</v>
      </c>
      <c r="BK28">
        <v>0</v>
      </c>
      <c r="BN28" t="s">
        <v>601</v>
      </c>
      <c r="BO28">
        <v>24</v>
      </c>
      <c r="BP28">
        <v>1</v>
      </c>
    </row>
    <row r="29" spans="1:68" x14ac:dyDescent="0.25">
      <c r="A29" t="s">
        <v>308</v>
      </c>
      <c r="B29" s="1">
        <v>46181</v>
      </c>
      <c r="E29" t="s">
        <v>170</v>
      </c>
      <c r="F29">
        <v>0</v>
      </c>
      <c r="G29" t="s">
        <v>170</v>
      </c>
      <c r="H29">
        <v>7.67</v>
      </c>
      <c r="J29" t="s">
        <v>170</v>
      </c>
      <c r="L29" t="s">
        <v>208</v>
      </c>
      <c r="M29" t="s">
        <v>222</v>
      </c>
      <c r="P29">
        <v>0</v>
      </c>
      <c r="Q29" t="s">
        <v>197</v>
      </c>
      <c r="R29" t="s">
        <v>174</v>
      </c>
      <c r="S29" t="s">
        <v>190</v>
      </c>
      <c r="T29" t="s">
        <v>191</v>
      </c>
      <c r="U29" t="s">
        <v>209</v>
      </c>
      <c r="V29" t="s">
        <v>210</v>
      </c>
      <c r="Z29" t="s">
        <v>170</v>
      </c>
      <c r="AA29">
        <v>0</v>
      </c>
      <c r="AB29" t="s">
        <v>179</v>
      </c>
      <c r="AC29" t="s">
        <v>170</v>
      </c>
      <c r="AD29" t="s">
        <v>170</v>
      </c>
      <c r="AE29" t="s">
        <v>179</v>
      </c>
      <c r="AF29" t="s">
        <v>180</v>
      </c>
      <c r="AG29" t="s">
        <v>181</v>
      </c>
      <c r="AH29" t="s">
        <v>73</v>
      </c>
      <c r="AI29" t="s">
        <v>210</v>
      </c>
      <c r="AJ29">
        <v>1</v>
      </c>
      <c r="AL29" t="s">
        <v>170</v>
      </c>
      <c r="AM29" t="s">
        <v>170</v>
      </c>
      <c r="AN29" t="s">
        <v>170</v>
      </c>
      <c r="AO29" t="s">
        <v>183</v>
      </c>
      <c r="AP29">
        <v>1</v>
      </c>
      <c r="AQ29" t="s">
        <v>170</v>
      </c>
      <c r="AR29" t="s">
        <v>222</v>
      </c>
      <c r="AS29" t="s">
        <v>185</v>
      </c>
      <c r="AU29">
        <v>42644</v>
      </c>
      <c r="AX29" t="s">
        <v>170</v>
      </c>
      <c r="AY29">
        <v>694</v>
      </c>
      <c r="AZ29" t="s">
        <v>186</v>
      </c>
      <c r="BA29" t="s">
        <v>185</v>
      </c>
      <c r="BG29" t="s">
        <v>170</v>
      </c>
      <c r="BH29" t="s">
        <v>308</v>
      </c>
      <c r="BI29">
        <v>2</v>
      </c>
      <c r="BJ29" t="s">
        <v>245</v>
      </c>
      <c r="BK29">
        <v>0</v>
      </c>
      <c r="BN29" t="s">
        <v>602</v>
      </c>
      <c r="BO29">
        <v>24</v>
      </c>
      <c r="BP29">
        <v>1</v>
      </c>
    </row>
    <row r="30" spans="1:68" x14ac:dyDescent="0.25">
      <c r="A30" t="s">
        <v>310</v>
      </c>
      <c r="B30" s="1">
        <v>46181</v>
      </c>
      <c r="E30" t="s">
        <v>170</v>
      </c>
      <c r="F30">
        <v>0</v>
      </c>
      <c r="G30" t="s">
        <v>170</v>
      </c>
      <c r="H30">
        <v>8</v>
      </c>
      <c r="J30" t="s">
        <v>170</v>
      </c>
      <c r="L30" t="s">
        <v>187</v>
      </c>
      <c r="M30" t="s">
        <v>222</v>
      </c>
      <c r="P30">
        <v>0</v>
      </c>
      <c r="Q30" t="s">
        <v>197</v>
      </c>
      <c r="R30" t="s">
        <v>174</v>
      </c>
      <c r="S30" t="s">
        <v>190</v>
      </c>
      <c r="T30" t="s">
        <v>191</v>
      </c>
      <c r="U30" t="s">
        <v>215</v>
      </c>
      <c r="V30" t="s">
        <v>216</v>
      </c>
      <c r="Z30" t="s">
        <v>170</v>
      </c>
      <c r="AA30">
        <v>0</v>
      </c>
      <c r="AB30" t="s">
        <v>179</v>
      </c>
      <c r="AC30" t="s">
        <v>170</v>
      </c>
      <c r="AD30" t="s">
        <v>170</v>
      </c>
      <c r="AE30" t="s">
        <v>179</v>
      </c>
      <c r="AF30" t="s">
        <v>180</v>
      </c>
      <c r="AG30" t="s">
        <v>181</v>
      </c>
      <c r="AH30" t="s">
        <v>72</v>
      </c>
      <c r="AI30" t="s">
        <v>216</v>
      </c>
      <c r="AJ30">
        <v>1</v>
      </c>
      <c r="AL30" t="s">
        <v>170</v>
      </c>
      <c r="AM30" t="s">
        <v>170</v>
      </c>
      <c r="AN30" t="s">
        <v>170</v>
      </c>
      <c r="AO30" t="s">
        <v>183</v>
      </c>
      <c r="AP30">
        <v>1</v>
      </c>
      <c r="AQ30" t="s">
        <v>170</v>
      </c>
      <c r="AR30" t="s">
        <v>222</v>
      </c>
      <c r="AS30" t="s">
        <v>185</v>
      </c>
      <c r="AU30">
        <v>43525</v>
      </c>
      <c r="AX30" t="s">
        <v>170</v>
      </c>
      <c r="AY30">
        <v>858</v>
      </c>
      <c r="AZ30" t="s">
        <v>186</v>
      </c>
      <c r="BA30" t="s">
        <v>185</v>
      </c>
      <c r="BG30" t="s">
        <v>170</v>
      </c>
      <c r="BH30" t="s">
        <v>310</v>
      </c>
      <c r="BJ30" t="s">
        <v>211</v>
      </c>
      <c r="BK30">
        <v>0</v>
      </c>
      <c r="BN30" t="s">
        <v>603</v>
      </c>
      <c r="BO30">
        <v>24</v>
      </c>
      <c r="BP30">
        <v>1</v>
      </c>
    </row>
    <row r="31" spans="1:68" x14ac:dyDescent="0.25">
      <c r="A31" t="s">
        <v>240</v>
      </c>
      <c r="B31" s="1">
        <v>46181</v>
      </c>
      <c r="C31" t="s">
        <v>170</v>
      </c>
      <c r="D31" t="s">
        <v>170</v>
      </c>
      <c r="E31" t="s">
        <v>170</v>
      </c>
      <c r="F31">
        <v>0</v>
      </c>
      <c r="G31" t="s">
        <v>170</v>
      </c>
      <c r="H31">
        <v>7.67</v>
      </c>
      <c r="J31" t="s">
        <v>170</v>
      </c>
      <c r="L31" t="s">
        <v>208</v>
      </c>
      <c r="M31" t="s">
        <v>188</v>
      </c>
      <c r="P31">
        <v>0</v>
      </c>
      <c r="Q31" t="s">
        <v>197</v>
      </c>
      <c r="R31" t="s">
        <v>85</v>
      </c>
      <c r="S31" t="s">
        <v>190</v>
      </c>
      <c r="T31" t="s">
        <v>191</v>
      </c>
      <c r="U31" t="s">
        <v>241</v>
      </c>
      <c r="V31" t="s">
        <v>242</v>
      </c>
      <c r="Z31" t="s">
        <v>170</v>
      </c>
      <c r="AA31">
        <v>0</v>
      </c>
      <c r="AB31" t="s">
        <v>179</v>
      </c>
      <c r="AC31" t="s">
        <v>170</v>
      </c>
      <c r="AD31" t="s">
        <v>170</v>
      </c>
      <c r="AE31" t="s">
        <v>179</v>
      </c>
      <c r="AF31" t="s">
        <v>180</v>
      </c>
      <c r="AG31" t="s">
        <v>181</v>
      </c>
      <c r="AH31" t="s">
        <v>73</v>
      </c>
      <c r="AI31" t="s">
        <v>242</v>
      </c>
      <c r="AJ31">
        <v>1</v>
      </c>
      <c r="AL31" t="s">
        <v>170</v>
      </c>
      <c r="AM31" t="s">
        <v>170</v>
      </c>
      <c r="AN31" t="s">
        <v>170</v>
      </c>
      <c r="AO31" t="s">
        <v>85</v>
      </c>
      <c r="AP31">
        <v>1</v>
      </c>
      <c r="AQ31" t="s">
        <v>170</v>
      </c>
      <c r="AR31" t="s">
        <v>194</v>
      </c>
      <c r="AS31" t="s">
        <v>185</v>
      </c>
      <c r="AU31">
        <v>43739</v>
      </c>
      <c r="AX31" t="s">
        <v>170</v>
      </c>
      <c r="AY31">
        <v>893</v>
      </c>
      <c r="AZ31" t="s">
        <v>186</v>
      </c>
      <c r="BA31" t="s">
        <v>185</v>
      </c>
      <c r="BD31" t="s">
        <v>301</v>
      </c>
      <c r="BE31">
        <v>7.67</v>
      </c>
      <c r="BF31" t="s">
        <v>302</v>
      </c>
      <c r="BG31" t="s">
        <v>301</v>
      </c>
      <c r="BH31" t="s">
        <v>240</v>
      </c>
      <c r="BJ31" t="s">
        <v>195</v>
      </c>
      <c r="BK31">
        <v>0</v>
      </c>
      <c r="BN31" t="s">
        <v>604</v>
      </c>
      <c r="BO31">
        <v>24</v>
      </c>
      <c r="BP31">
        <v>1</v>
      </c>
    </row>
    <row r="32" spans="1:68" x14ac:dyDescent="0.25">
      <c r="A32" t="s">
        <v>316</v>
      </c>
      <c r="B32" s="1">
        <v>46181</v>
      </c>
      <c r="C32" t="s">
        <v>170</v>
      </c>
      <c r="D32" t="s">
        <v>170</v>
      </c>
      <c r="E32" t="s">
        <v>170</v>
      </c>
      <c r="F32">
        <v>0</v>
      </c>
      <c r="G32" t="s">
        <v>170</v>
      </c>
      <c r="H32">
        <v>7.6</v>
      </c>
      <c r="J32" t="s">
        <v>170</v>
      </c>
      <c r="L32" t="s">
        <v>605</v>
      </c>
      <c r="M32" t="s">
        <v>188</v>
      </c>
      <c r="P32">
        <v>3.6</v>
      </c>
      <c r="Q32" t="s">
        <v>197</v>
      </c>
      <c r="R32" t="s">
        <v>174</v>
      </c>
      <c r="S32" t="s">
        <v>190</v>
      </c>
      <c r="T32" t="s">
        <v>191</v>
      </c>
      <c r="U32" t="s">
        <v>209</v>
      </c>
      <c r="V32" t="s">
        <v>210</v>
      </c>
      <c r="Z32" t="s">
        <v>170</v>
      </c>
      <c r="AA32">
        <v>0.5</v>
      </c>
      <c r="AB32" t="s">
        <v>179</v>
      </c>
      <c r="AC32" t="s">
        <v>170</v>
      </c>
      <c r="AD32" t="s">
        <v>170</v>
      </c>
      <c r="AE32" t="s">
        <v>179</v>
      </c>
      <c r="AF32" t="s">
        <v>180</v>
      </c>
      <c r="AG32" t="s">
        <v>181</v>
      </c>
      <c r="AH32" t="s">
        <v>232</v>
      </c>
      <c r="AI32" t="s">
        <v>210</v>
      </c>
      <c r="AJ32">
        <v>1</v>
      </c>
      <c r="AL32" t="s">
        <v>170</v>
      </c>
      <c r="AM32" t="s">
        <v>170</v>
      </c>
      <c r="AN32" t="s">
        <v>170</v>
      </c>
      <c r="AO32" t="s">
        <v>183</v>
      </c>
      <c r="AP32">
        <v>1</v>
      </c>
      <c r="AQ32" t="s">
        <v>170</v>
      </c>
      <c r="AR32" t="s">
        <v>194</v>
      </c>
      <c r="AS32" t="s">
        <v>185</v>
      </c>
      <c r="AU32">
        <v>39260</v>
      </c>
      <c r="AX32" t="s">
        <v>170</v>
      </c>
      <c r="AY32">
        <v>89</v>
      </c>
      <c r="AZ32" t="s">
        <v>186</v>
      </c>
      <c r="BA32" t="s">
        <v>185</v>
      </c>
      <c r="BF32" t="s">
        <v>403</v>
      </c>
      <c r="BG32" t="s">
        <v>170</v>
      </c>
      <c r="BH32" t="s">
        <v>316</v>
      </c>
      <c r="BI32">
        <v>2</v>
      </c>
      <c r="BJ32" t="s">
        <v>220</v>
      </c>
      <c r="BK32">
        <v>0</v>
      </c>
      <c r="BN32" t="s">
        <v>606</v>
      </c>
      <c r="BO32">
        <v>24</v>
      </c>
      <c r="BP32">
        <v>1</v>
      </c>
    </row>
    <row r="33" spans="1:68" x14ac:dyDescent="0.25">
      <c r="A33" t="s">
        <v>322</v>
      </c>
      <c r="B33" s="1">
        <v>46181</v>
      </c>
      <c r="E33" t="s">
        <v>170</v>
      </c>
      <c r="F33">
        <v>0</v>
      </c>
      <c r="G33" t="s">
        <v>170</v>
      </c>
      <c r="H33">
        <v>7.67</v>
      </c>
      <c r="J33" t="s">
        <v>170</v>
      </c>
      <c r="L33" t="s">
        <v>208</v>
      </c>
      <c r="M33" t="s">
        <v>172</v>
      </c>
      <c r="P33">
        <v>0</v>
      </c>
      <c r="Q33" t="s">
        <v>197</v>
      </c>
      <c r="R33" t="s">
        <v>174</v>
      </c>
      <c r="S33" t="s">
        <v>190</v>
      </c>
      <c r="T33" t="s">
        <v>191</v>
      </c>
      <c r="U33" t="s">
        <v>215</v>
      </c>
      <c r="V33" t="s">
        <v>216</v>
      </c>
      <c r="Z33" t="s">
        <v>170</v>
      </c>
      <c r="AA33">
        <v>0</v>
      </c>
      <c r="AB33" t="s">
        <v>179</v>
      </c>
      <c r="AC33" t="s">
        <v>170</v>
      </c>
      <c r="AD33" t="s">
        <v>170</v>
      </c>
      <c r="AE33" t="s">
        <v>179</v>
      </c>
      <c r="AF33" t="s">
        <v>180</v>
      </c>
      <c r="AG33" t="s">
        <v>181</v>
      </c>
      <c r="AH33" t="s">
        <v>73</v>
      </c>
      <c r="AI33" t="s">
        <v>216</v>
      </c>
      <c r="AJ33">
        <v>1</v>
      </c>
      <c r="AL33" t="s">
        <v>170</v>
      </c>
      <c r="AM33" t="s">
        <v>170</v>
      </c>
      <c r="AN33" t="s">
        <v>170</v>
      </c>
      <c r="AO33" t="s">
        <v>183</v>
      </c>
      <c r="AP33">
        <v>1</v>
      </c>
      <c r="AQ33" t="s">
        <v>170</v>
      </c>
      <c r="AR33" t="s">
        <v>184</v>
      </c>
      <c r="AS33" t="s">
        <v>185</v>
      </c>
      <c r="AU33">
        <v>42979</v>
      </c>
      <c r="AX33" t="s">
        <v>170</v>
      </c>
      <c r="AY33">
        <v>751</v>
      </c>
      <c r="AZ33" t="s">
        <v>186</v>
      </c>
      <c r="BA33" t="s">
        <v>185</v>
      </c>
      <c r="BG33" t="s">
        <v>170</v>
      </c>
      <c r="BH33" t="s">
        <v>322</v>
      </c>
      <c r="BI33">
        <v>3</v>
      </c>
      <c r="BJ33" t="s">
        <v>195</v>
      </c>
      <c r="BK33">
        <v>0</v>
      </c>
      <c r="BN33" t="s">
        <v>607</v>
      </c>
      <c r="BO33">
        <v>24</v>
      </c>
      <c r="BP33">
        <v>1</v>
      </c>
    </row>
    <row r="34" spans="1:68" x14ac:dyDescent="0.25">
      <c r="A34" t="s">
        <v>244</v>
      </c>
      <c r="B34" s="1">
        <v>46181</v>
      </c>
      <c r="E34" t="s">
        <v>170</v>
      </c>
      <c r="F34">
        <v>0</v>
      </c>
      <c r="G34" t="s">
        <v>170</v>
      </c>
      <c r="H34">
        <v>8</v>
      </c>
      <c r="J34" t="s">
        <v>170</v>
      </c>
      <c r="L34" t="s">
        <v>187</v>
      </c>
      <c r="M34" t="s">
        <v>188</v>
      </c>
      <c r="P34">
        <v>0</v>
      </c>
      <c r="Q34" t="s">
        <v>197</v>
      </c>
      <c r="R34" t="s">
        <v>174</v>
      </c>
      <c r="S34" t="s">
        <v>190</v>
      </c>
      <c r="T34" t="s">
        <v>225</v>
      </c>
      <c r="U34" t="s">
        <v>209</v>
      </c>
      <c r="V34" t="s">
        <v>210</v>
      </c>
      <c r="Z34" t="s">
        <v>170</v>
      </c>
      <c r="AA34">
        <v>0</v>
      </c>
      <c r="AB34" t="s">
        <v>179</v>
      </c>
      <c r="AC34" t="s">
        <v>170</v>
      </c>
      <c r="AD34" t="s">
        <v>170</v>
      </c>
      <c r="AE34" t="s">
        <v>179</v>
      </c>
      <c r="AF34" t="s">
        <v>180</v>
      </c>
      <c r="AG34" t="s">
        <v>181</v>
      </c>
      <c r="AH34" t="s">
        <v>72</v>
      </c>
      <c r="AI34" t="s">
        <v>210</v>
      </c>
      <c r="AJ34">
        <v>1</v>
      </c>
      <c r="AL34" t="s">
        <v>170</v>
      </c>
      <c r="AM34" t="s">
        <v>170</v>
      </c>
      <c r="AN34" t="s">
        <v>170</v>
      </c>
      <c r="AO34" t="s">
        <v>183</v>
      </c>
      <c r="AP34">
        <v>1</v>
      </c>
      <c r="AQ34" t="s">
        <v>170</v>
      </c>
      <c r="AR34" t="s">
        <v>194</v>
      </c>
      <c r="AS34" t="s">
        <v>185</v>
      </c>
      <c r="AU34">
        <v>45778</v>
      </c>
      <c r="AX34" t="s">
        <v>170</v>
      </c>
      <c r="AY34">
        <v>1202</v>
      </c>
      <c r="AZ34" t="s">
        <v>186</v>
      </c>
      <c r="BA34" t="s">
        <v>185</v>
      </c>
      <c r="BG34" t="s">
        <v>170</v>
      </c>
      <c r="BH34" t="s">
        <v>244</v>
      </c>
      <c r="BJ34" t="s">
        <v>211</v>
      </c>
      <c r="BK34">
        <v>0</v>
      </c>
      <c r="BN34" t="s">
        <v>608</v>
      </c>
      <c r="BO34">
        <v>24</v>
      </c>
      <c r="BP34">
        <v>1</v>
      </c>
    </row>
    <row r="35" spans="1:68" x14ac:dyDescent="0.25">
      <c r="A35" t="s">
        <v>446</v>
      </c>
      <c r="B35" s="1">
        <v>46181</v>
      </c>
      <c r="E35" t="s">
        <v>170</v>
      </c>
      <c r="F35">
        <v>0</v>
      </c>
      <c r="G35" t="s">
        <v>170</v>
      </c>
      <c r="H35">
        <v>8</v>
      </c>
      <c r="J35" t="s">
        <v>170</v>
      </c>
      <c r="L35" t="s">
        <v>187</v>
      </c>
      <c r="M35" t="s">
        <v>188</v>
      </c>
      <c r="P35">
        <v>0</v>
      </c>
      <c r="Q35" t="s">
        <v>197</v>
      </c>
      <c r="R35" t="s">
        <v>174</v>
      </c>
      <c r="S35" t="s">
        <v>190</v>
      </c>
      <c r="T35" t="s">
        <v>191</v>
      </c>
      <c r="U35" t="s">
        <v>209</v>
      </c>
      <c r="V35" t="s">
        <v>210</v>
      </c>
      <c r="Z35" t="s">
        <v>170</v>
      </c>
      <c r="AA35">
        <v>0</v>
      </c>
      <c r="AB35" t="s">
        <v>179</v>
      </c>
      <c r="AC35" t="s">
        <v>170</v>
      </c>
      <c r="AD35" t="s">
        <v>170</v>
      </c>
      <c r="AE35" t="s">
        <v>179</v>
      </c>
      <c r="AF35" t="s">
        <v>180</v>
      </c>
      <c r="AG35" t="s">
        <v>181</v>
      </c>
      <c r="AH35" t="s">
        <v>72</v>
      </c>
      <c r="AI35" t="s">
        <v>210</v>
      </c>
      <c r="AJ35">
        <v>1</v>
      </c>
      <c r="AL35" t="s">
        <v>170</v>
      </c>
      <c r="AM35" t="s">
        <v>170</v>
      </c>
      <c r="AN35" t="s">
        <v>170</v>
      </c>
      <c r="AO35" t="s">
        <v>183</v>
      </c>
      <c r="AP35">
        <v>1</v>
      </c>
      <c r="AQ35" t="s">
        <v>170</v>
      </c>
      <c r="AR35" t="s">
        <v>194</v>
      </c>
      <c r="AS35" t="s">
        <v>185</v>
      </c>
      <c r="AU35">
        <v>44440</v>
      </c>
      <c r="AX35" t="s">
        <v>170</v>
      </c>
      <c r="AY35">
        <v>958</v>
      </c>
      <c r="AZ35" t="s">
        <v>186</v>
      </c>
      <c r="BA35" t="s">
        <v>185</v>
      </c>
      <c r="BG35" t="s">
        <v>170</v>
      </c>
      <c r="BH35" t="s">
        <v>446</v>
      </c>
      <c r="BJ35" t="s">
        <v>211</v>
      </c>
      <c r="BK35">
        <v>0</v>
      </c>
      <c r="BN35" t="s">
        <v>609</v>
      </c>
      <c r="BO35">
        <v>24</v>
      </c>
      <c r="BP35">
        <v>1</v>
      </c>
    </row>
    <row r="36" spans="1:68" x14ac:dyDescent="0.25">
      <c r="A36" t="s">
        <v>248</v>
      </c>
      <c r="B36" s="1">
        <v>46181</v>
      </c>
      <c r="E36" t="s">
        <v>170</v>
      </c>
      <c r="F36">
        <v>0</v>
      </c>
      <c r="G36" t="s">
        <v>170</v>
      </c>
      <c r="H36">
        <v>7.67</v>
      </c>
      <c r="J36" t="s">
        <v>170</v>
      </c>
      <c r="L36" t="s">
        <v>208</v>
      </c>
      <c r="M36" t="s">
        <v>188</v>
      </c>
      <c r="P36">
        <v>0</v>
      </c>
      <c r="Q36" t="s">
        <v>197</v>
      </c>
      <c r="R36" t="s">
        <v>174</v>
      </c>
      <c r="S36" t="s">
        <v>190</v>
      </c>
      <c r="T36" t="s">
        <v>191</v>
      </c>
      <c r="U36" t="s">
        <v>198</v>
      </c>
      <c r="V36" t="s">
        <v>199</v>
      </c>
      <c r="Z36" t="s">
        <v>170</v>
      </c>
      <c r="AA36">
        <v>0</v>
      </c>
      <c r="AB36" t="s">
        <v>179</v>
      </c>
      <c r="AC36" t="s">
        <v>170</v>
      </c>
      <c r="AD36" t="s">
        <v>170</v>
      </c>
      <c r="AE36" t="s">
        <v>179</v>
      </c>
      <c r="AF36" t="s">
        <v>180</v>
      </c>
      <c r="AG36" t="s">
        <v>181</v>
      </c>
      <c r="AH36" t="s">
        <v>73</v>
      </c>
      <c r="AI36" t="s">
        <v>199</v>
      </c>
      <c r="AJ36">
        <v>1</v>
      </c>
      <c r="AL36" t="s">
        <v>170</v>
      </c>
      <c r="AM36" t="s">
        <v>170</v>
      </c>
      <c r="AN36" t="s">
        <v>170</v>
      </c>
      <c r="AO36" t="s">
        <v>183</v>
      </c>
      <c r="AP36">
        <v>1</v>
      </c>
      <c r="AQ36" t="s">
        <v>170</v>
      </c>
      <c r="AR36" t="s">
        <v>194</v>
      </c>
      <c r="AS36" t="s">
        <v>185</v>
      </c>
      <c r="AU36">
        <v>45383</v>
      </c>
      <c r="AX36" t="s">
        <v>170</v>
      </c>
      <c r="AY36">
        <v>1171</v>
      </c>
      <c r="AZ36" t="s">
        <v>186</v>
      </c>
      <c r="BA36" t="s">
        <v>185</v>
      </c>
      <c r="BG36" t="s">
        <v>170</v>
      </c>
      <c r="BH36" t="s">
        <v>248</v>
      </c>
      <c r="BK36">
        <v>0</v>
      </c>
      <c r="BN36" t="s">
        <v>610</v>
      </c>
      <c r="BO36">
        <v>24</v>
      </c>
      <c r="BP36">
        <v>1</v>
      </c>
    </row>
    <row r="37" spans="1:68" x14ac:dyDescent="0.25">
      <c r="A37" t="s">
        <v>250</v>
      </c>
      <c r="B37" s="1">
        <v>46181</v>
      </c>
      <c r="E37" t="s">
        <v>170</v>
      </c>
      <c r="F37">
        <v>0</v>
      </c>
      <c r="G37" t="s">
        <v>170</v>
      </c>
      <c r="H37">
        <v>7.67</v>
      </c>
      <c r="J37" t="s">
        <v>170</v>
      </c>
      <c r="L37" t="s">
        <v>208</v>
      </c>
      <c r="M37" t="s">
        <v>172</v>
      </c>
      <c r="P37">
        <v>0</v>
      </c>
      <c r="Q37" t="s">
        <v>197</v>
      </c>
      <c r="R37" t="s">
        <v>174</v>
      </c>
      <c r="S37" t="s">
        <v>190</v>
      </c>
      <c r="T37" t="s">
        <v>191</v>
      </c>
      <c r="U37" t="s">
        <v>215</v>
      </c>
      <c r="V37" t="s">
        <v>216</v>
      </c>
      <c r="Z37" t="s">
        <v>170</v>
      </c>
      <c r="AA37">
        <v>0</v>
      </c>
      <c r="AB37" t="s">
        <v>179</v>
      </c>
      <c r="AC37" t="s">
        <v>170</v>
      </c>
      <c r="AD37" t="s">
        <v>170</v>
      </c>
      <c r="AE37" t="s">
        <v>179</v>
      </c>
      <c r="AF37" t="s">
        <v>180</v>
      </c>
      <c r="AG37" t="s">
        <v>181</v>
      </c>
      <c r="AH37" t="s">
        <v>73</v>
      </c>
      <c r="AI37" t="s">
        <v>216</v>
      </c>
      <c r="AJ37">
        <v>1</v>
      </c>
      <c r="AL37" t="s">
        <v>170</v>
      </c>
      <c r="AM37" t="s">
        <v>170</v>
      </c>
      <c r="AN37" t="s">
        <v>170</v>
      </c>
      <c r="AO37" t="s">
        <v>183</v>
      </c>
      <c r="AP37">
        <v>1</v>
      </c>
      <c r="AQ37" t="s">
        <v>170</v>
      </c>
      <c r="AR37" t="s">
        <v>184</v>
      </c>
      <c r="AS37" t="s">
        <v>185</v>
      </c>
      <c r="AU37">
        <v>43739</v>
      </c>
      <c r="AX37" t="s">
        <v>170</v>
      </c>
      <c r="AY37">
        <v>896</v>
      </c>
      <c r="AZ37" t="s">
        <v>186</v>
      </c>
      <c r="BA37" t="s">
        <v>185</v>
      </c>
      <c r="BG37" t="s">
        <v>170</v>
      </c>
      <c r="BH37" t="s">
        <v>250</v>
      </c>
      <c r="BJ37" t="s">
        <v>195</v>
      </c>
      <c r="BK37">
        <v>0</v>
      </c>
      <c r="BN37" t="s">
        <v>611</v>
      </c>
      <c r="BO37">
        <v>24</v>
      </c>
      <c r="BP37">
        <v>1</v>
      </c>
    </row>
    <row r="38" spans="1:68" x14ac:dyDescent="0.25">
      <c r="A38" t="s">
        <v>251</v>
      </c>
      <c r="B38" s="1">
        <v>46181</v>
      </c>
      <c r="E38" t="s">
        <v>170</v>
      </c>
      <c r="F38">
        <v>0</v>
      </c>
      <c r="G38" t="s">
        <v>170</v>
      </c>
      <c r="H38">
        <v>7.67</v>
      </c>
      <c r="J38" t="s">
        <v>170</v>
      </c>
      <c r="L38" t="s">
        <v>208</v>
      </c>
      <c r="M38" t="s">
        <v>188</v>
      </c>
      <c r="P38">
        <v>0</v>
      </c>
      <c r="Q38" t="s">
        <v>197</v>
      </c>
      <c r="R38" t="s">
        <v>174</v>
      </c>
      <c r="S38" t="s">
        <v>190</v>
      </c>
      <c r="T38" t="s">
        <v>191</v>
      </c>
      <c r="U38" t="s">
        <v>198</v>
      </c>
      <c r="V38" t="s">
        <v>199</v>
      </c>
      <c r="Z38" t="s">
        <v>170</v>
      </c>
      <c r="AA38">
        <v>0</v>
      </c>
      <c r="AB38" t="s">
        <v>179</v>
      </c>
      <c r="AC38" t="s">
        <v>170</v>
      </c>
      <c r="AD38" t="s">
        <v>170</v>
      </c>
      <c r="AE38" t="s">
        <v>179</v>
      </c>
      <c r="AF38" t="s">
        <v>180</v>
      </c>
      <c r="AG38" t="s">
        <v>181</v>
      </c>
      <c r="AH38" t="s">
        <v>73</v>
      </c>
      <c r="AI38" t="s">
        <v>199</v>
      </c>
      <c r="AJ38">
        <v>1</v>
      </c>
      <c r="AL38" t="s">
        <v>170</v>
      </c>
      <c r="AM38" t="s">
        <v>170</v>
      </c>
      <c r="AN38" t="s">
        <v>170</v>
      </c>
      <c r="AO38" t="s">
        <v>183</v>
      </c>
      <c r="AP38">
        <v>1</v>
      </c>
      <c r="AQ38" t="s">
        <v>170</v>
      </c>
      <c r="AR38" t="s">
        <v>194</v>
      </c>
      <c r="AS38" t="s">
        <v>185</v>
      </c>
      <c r="AU38">
        <v>43525</v>
      </c>
      <c r="AX38" t="s">
        <v>170</v>
      </c>
      <c r="AY38">
        <v>859</v>
      </c>
      <c r="AZ38" t="s">
        <v>186</v>
      </c>
      <c r="BA38" t="s">
        <v>185</v>
      </c>
      <c r="BG38" t="s">
        <v>170</v>
      </c>
      <c r="BH38" t="s">
        <v>251</v>
      </c>
      <c r="BJ38" t="s">
        <v>195</v>
      </c>
      <c r="BK38">
        <v>0</v>
      </c>
      <c r="BN38" t="s">
        <v>612</v>
      </c>
      <c r="BO38">
        <v>24</v>
      </c>
      <c r="BP38">
        <v>1</v>
      </c>
    </row>
    <row r="39" spans="1:68" x14ac:dyDescent="0.25">
      <c r="A39" t="s">
        <v>326</v>
      </c>
      <c r="B39" s="1">
        <v>46181</v>
      </c>
      <c r="E39" t="s">
        <v>170</v>
      </c>
      <c r="F39">
        <v>0</v>
      </c>
      <c r="G39" t="s">
        <v>170</v>
      </c>
      <c r="H39">
        <v>7.67</v>
      </c>
      <c r="J39" t="s">
        <v>170</v>
      </c>
      <c r="L39" t="s">
        <v>208</v>
      </c>
      <c r="M39" t="s">
        <v>188</v>
      </c>
      <c r="P39">
        <v>0</v>
      </c>
      <c r="Q39" t="s">
        <v>197</v>
      </c>
      <c r="R39" t="s">
        <v>174</v>
      </c>
      <c r="S39" t="s">
        <v>190</v>
      </c>
      <c r="T39" t="s">
        <v>191</v>
      </c>
      <c r="U39" t="s">
        <v>209</v>
      </c>
      <c r="V39" t="s">
        <v>210</v>
      </c>
      <c r="Z39" t="s">
        <v>170</v>
      </c>
      <c r="AA39">
        <v>0</v>
      </c>
      <c r="AB39" t="s">
        <v>179</v>
      </c>
      <c r="AC39" t="s">
        <v>170</v>
      </c>
      <c r="AD39" t="s">
        <v>170</v>
      </c>
      <c r="AE39" t="s">
        <v>179</v>
      </c>
      <c r="AF39" t="s">
        <v>180</v>
      </c>
      <c r="AG39" t="s">
        <v>181</v>
      </c>
      <c r="AH39" t="s">
        <v>73</v>
      </c>
      <c r="AI39" t="s">
        <v>210</v>
      </c>
      <c r="AJ39">
        <v>1</v>
      </c>
      <c r="AL39" t="s">
        <v>170</v>
      </c>
      <c r="AM39" t="s">
        <v>170</v>
      </c>
      <c r="AN39" t="s">
        <v>170</v>
      </c>
      <c r="AO39" t="s">
        <v>183</v>
      </c>
      <c r="AP39">
        <v>1</v>
      </c>
      <c r="AQ39" t="s">
        <v>170</v>
      </c>
      <c r="AR39" t="s">
        <v>194</v>
      </c>
      <c r="AS39" t="s">
        <v>185</v>
      </c>
      <c r="AU39">
        <v>44835</v>
      </c>
      <c r="AX39" t="s">
        <v>170</v>
      </c>
      <c r="AY39">
        <v>1107</v>
      </c>
      <c r="AZ39" t="s">
        <v>186</v>
      </c>
      <c r="BA39" t="s">
        <v>185</v>
      </c>
      <c r="BG39" t="s">
        <v>170</v>
      </c>
      <c r="BH39" t="s">
        <v>326</v>
      </c>
      <c r="BJ39" t="s">
        <v>195</v>
      </c>
      <c r="BK39">
        <v>0</v>
      </c>
      <c r="BN39" t="s">
        <v>613</v>
      </c>
      <c r="BO39">
        <v>24</v>
      </c>
      <c r="BP39">
        <v>1</v>
      </c>
    </row>
    <row r="40" spans="1:68" x14ac:dyDescent="0.25">
      <c r="A40" t="s">
        <v>328</v>
      </c>
      <c r="B40" s="1">
        <v>46181</v>
      </c>
      <c r="E40" t="s">
        <v>170</v>
      </c>
      <c r="F40">
        <v>0</v>
      </c>
      <c r="G40" t="s">
        <v>170</v>
      </c>
      <c r="H40">
        <v>8</v>
      </c>
      <c r="J40" t="s">
        <v>170</v>
      </c>
      <c r="L40" t="s">
        <v>187</v>
      </c>
      <c r="M40" t="s">
        <v>188</v>
      </c>
      <c r="P40">
        <v>0</v>
      </c>
      <c r="Q40" t="s">
        <v>197</v>
      </c>
      <c r="R40" t="s">
        <v>174</v>
      </c>
      <c r="S40" t="s">
        <v>190</v>
      </c>
      <c r="T40" t="s">
        <v>191</v>
      </c>
      <c r="U40" t="s">
        <v>209</v>
      </c>
      <c r="V40" t="s">
        <v>210</v>
      </c>
      <c r="Z40" t="s">
        <v>170</v>
      </c>
      <c r="AA40">
        <v>0</v>
      </c>
      <c r="AB40" t="s">
        <v>179</v>
      </c>
      <c r="AC40" t="s">
        <v>170</v>
      </c>
      <c r="AD40" t="s">
        <v>170</v>
      </c>
      <c r="AE40" t="s">
        <v>179</v>
      </c>
      <c r="AF40" t="s">
        <v>180</v>
      </c>
      <c r="AG40" t="s">
        <v>181</v>
      </c>
      <c r="AH40" t="s">
        <v>72</v>
      </c>
      <c r="AI40" t="s">
        <v>210</v>
      </c>
      <c r="AJ40">
        <v>1</v>
      </c>
      <c r="AL40" t="s">
        <v>170</v>
      </c>
      <c r="AM40" t="s">
        <v>170</v>
      </c>
      <c r="AN40" t="s">
        <v>170</v>
      </c>
      <c r="AO40" t="s">
        <v>183</v>
      </c>
      <c r="AP40">
        <v>1</v>
      </c>
      <c r="AQ40" t="s">
        <v>170</v>
      </c>
      <c r="AR40" t="s">
        <v>194</v>
      </c>
      <c r="AS40" t="s">
        <v>185</v>
      </c>
      <c r="AU40">
        <v>45200</v>
      </c>
      <c r="AX40" t="s">
        <v>170</v>
      </c>
      <c r="AY40">
        <v>1148</v>
      </c>
      <c r="AZ40" t="s">
        <v>186</v>
      </c>
      <c r="BA40" t="s">
        <v>185</v>
      </c>
      <c r="BG40" t="s">
        <v>170</v>
      </c>
      <c r="BH40" t="s">
        <v>328</v>
      </c>
      <c r="BJ40" t="s">
        <v>211</v>
      </c>
      <c r="BK40">
        <v>0</v>
      </c>
      <c r="BN40" t="s">
        <v>614</v>
      </c>
      <c r="BO40">
        <v>24</v>
      </c>
      <c r="BP40">
        <v>1</v>
      </c>
    </row>
    <row r="41" spans="1:68" x14ac:dyDescent="0.25">
      <c r="A41" t="s">
        <v>615</v>
      </c>
      <c r="B41" s="1">
        <v>46181</v>
      </c>
      <c r="E41" t="s">
        <v>170</v>
      </c>
      <c r="F41">
        <v>0</v>
      </c>
      <c r="G41" t="s">
        <v>170</v>
      </c>
      <c r="H41">
        <v>7.67</v>
      </c>
      <c r="J41" t="s">
        <v>170</v>
      </c>
      <c r="L41" t="s">
        <v>208</v>
      </c>
      <c r="M41" t="s">
        <v>188</v>
      </c>
      <c r="P41">
        <v>0</v>
      </c>
      <c r="Q41" t="s">
        <v>173</v>
      </c>
      <c r="R41" t="s">
        <v>174</v>
      </c>
      <c r="S41" t="s">
        <v>190</v>
      </c>
      <c r="T41" t="s">
        <v>191</v>
      </c>
      <c r="U41" t="s">
        <v>201</v>
      </c>
      <c r="V41" t="s">
        <v>202</v>
      </c>
      <c r="Z41" t="s">
        <v>170</v>
      </c>
      <c r="AA41">
        <v>0</v>
      </c>
      <c r="AB41" t="s">
        <v>179</v>
      </c>
      <c r="AC41" t="s">
        <v>170</v>
      </c>
      <c r="AD41" t="s">
        <v>170</v>
      </c>
      <c r="AE41" t="s">
        <v>179</v>
      </c>
      <c r="AF41" t="s">
        <v>180</v>
      </c>
      <c r="AG41" t="s">
        <v>181</v>
      </c>
      <c r="AH41" t="s">
        <v>73</v>
      </c>
      <c r="AI41" t="s">
        <v>202</v>
      </c>
      <c r="AJ41">
        <v>1</v>
      </c>
      <c r="AL41" t="s">
        <v>170</v>
      </c>
      <c r="AM41" t="s">
        <v>170</v>
      </c>
      <c r="AN41" t="s">
        <v>170</v>
      </c>
      <c r="AO41" t="s">
        <v>183</v>
      </c>
      <c r="AP41">
        <v>1</v>
      </c>
      <c r="AQ41" t="s">
        <v>170</v>
      </c>
      <c r="AR41" t="s">
        <v>194</v>
      </c>
      <c r="AS41" t="s">
        <v>185</v>
      </c>
      <c r="AU41">
        <v>44743</v>
      </c>
      <c r="AX41" t="s">
        <v>170</v>
      </c>
      <c r="AY41">
        <v>1053</v>
      </c>
      <c r="AZ41" t="s">
        <v>186</v>
      </c>
      <c r="BA41" t="s">
        <v>185</v>
      </c>
      <c r="BG41" t="s">
        <v>170</v>
      </c>
      <c r="BH41" t="s">
        <v>615</v>
      </c>
      <c r="BJ41" t="s">
        <v>195</v>
      </c>
      <c r="BK41">
        <v>0</v>
      </c>
      <c r="BN41" t="s">
        <v>616</v>
      </c>
      <c r="BO41">
        <v>24</v>
      </c>
      <c r="BP41">
        <v>1</v>
      </c>
    </row>
    <row r="42" spans="1:68" x14ac:dyDescent="0.25">
      <c r="A42" t="s">
        <v>330</v>
      </c>
      <c r="B42" s="1">
        <v>46181</v>
      </c>
      <c r="E42" t="s">
        <v>170</v>
      </c>
      <c r="F42">
        <v>0</v>
      </c>
      <c r="G42" t="s">
        <v>170</v>
      </c>
      <c r="H42">
        <v>7.67</v>
      </c>
      <c r="J42" t="s">
        <v>170</v>
      </c>
      <c r="L42" t="s">
        <v>208</v>
      </c>
      <c r="M42" t="s">
        <v>188</v>
      </c>
      <c r="P42">
        <v>0</v>
      </c>
      <c r="Q42" t="s">
        <v>197</v>
      </c>
      <c r="R42" t="s">
        <v>174</v>
      </c>
      <c r="S42" t="s">
        <v>190</v>
      </c>
      <c r="T42" t="s">
        <v>191</v>
      </c>
      <c r="U42" t="s">
        <v>209</v>
      </c>
      <c r="V42" t="s">
        <v>210</v>
      </c>
      <c r="Z42" t="s">
        <v>170</v>
      </c>
      <c r="AA42">
        <v>0</v>
      </c>
      <c r="AB42" t="s">
        <v>179</v>
      </c>
      <c r="AC42" t="s">
        <v>170</v>
      </c>
      <c r="AD42" t="s">
        <v>170</v>
      </c>
      <c r="AE42" t="s">
        <v>179</v>
      </c>
      <c r="AF42" t="s">
        <v>180</v>
      </c>
      <c r="AG42" t="s">
        <v>181</v>
      </c>
      <c r="AH42" t="s">
        <v>73</v>
      </c>
      <c r="AI42" t="s">
        <v>210</v>
      </c>
      <c r="AJ42">
        <v>1</v>
      </c>
      <c r="AL42" t="s">
        <v>170</v>
      </c>
      <c r="AM42" t="s">
        <v>170</v>
      </c>
      <c r="AN42" t="s">
        <v>170</v>
      </c>
      <c r="AO42" t="s">
        <v>183</v>
      </c>
      <c r="AP42">
        <v>1</v>
      </c>
      <c r="AQ42" t="s">
        <v>170</v>
      </c>
      <c r="AR42" t="s">
        <v>194</v>
      </c>
      <c r="AS42" t="s">
        <v>185</v>
      </c>
      <c r="AU42">
        <v>43313</v>
      </c>
      <c r="AX42" t="s">
        <v>170</v>
      </c>
      <c r="AY42">
        <v>829</v>
      </c>
      <c r="AZ42" t="s">
        <v>186</v>
      </c>
      <c r="BA42" t="s">
        <v>185</v>
      </c>
      <c r="BG42" t="s">
        <v>170</v>
      </c>
      <c r="BH42" t="s">
        <v>330</v>
      </c>
      <c r="BJ42" t="s">
        <v>195</v>
      </c>
      <c r="BK42">
        <v>0</v>
      </c>
      <c r="BN42" t="s">
        <v>617</v>
      </c>
      <c r="BO42">
        <v>24</v>
      </c>
      <c r="BP42">
        <v>1</v>
      </c>
    </row>
    <row r="43" spans="1:68" x14ac:dyDescent="0.25">
      <c r="A43" t="s">
        <v>402</v>
      </c>
      <c r="B43" s="1">
        <v>46181</v>
      </c>
      <c r="E43" t="s">
        <v>170</v>
      </c>
      <c r="F43">
        <v>0</v>
      </c>
      <c r="G43" t="s">
        <v>170</v>
      </c>
      <c r="H43">
        <v>8</v>
      </c>
      <c r="J43" t="s">
        <v>170</v>
      </c>
      <c r="L43" t="s">
        <v>187</v>
      </c>
      <c r="M43" t="s">
        <v>188</v>
      </c>
      <c r="P43">
        <v>0</v>
      </c>
      <c r="Q43" t="s">
        <v>173</v>
      </c>
      <c r="R43" t="s">
        <v>189</v>
      </c>
      <c r="S43" t="s">
        <v>190</v>
      </c>
      <c r="T43" t="s">
        <v>191</v>
      </c>
      <c r="U43" t="s">
        <v>192</v>
      </c>
      <c r="V43" t="s">
        <v>193</v>
      </c>
      <c r="Z43" t="s">
        <v>170</v>
      </c>
      <c r="AA43">
        <v>0</v>
      </c>
      <c r="AB43" t="s">
        <v>179</v>
      </c>
      <c r="AC43" t="s">
        <v>170</v>
      </c>
      <c r="AD43" t="s">
        <v>170</v>
      </c>
      <c r="AE43" t="s">
        <v>179</v>
      </c>
      <c r="AF43" t="s">
        <v>180</v>
      </c>
      <c r="AG43" t="s">
        <v>181</v>
      </c>
      <c r="AH43" t="s">
        <v>72</v>
      </c>
      <c r="AI43" t="s">
        <v>193</v>
      </c>
      <c r="AJ43">
        <v>1</v>
      </c>
      <c r="AL43" t="s">
        <v>170</v>
      </c>
      <c r="AM43" t="s">
        <v>170</v>
      </c>
      <c r="AN43" t="s">
        <v>170</v>
      </c>
      <c r="AO43" t="s">
        <v>183</v>
      </c>
      <c r="AP43">
        <v>1</v>
      </c>
      <c r="AQ43" t="s">
        <v>170</v>
      </c>
      <c r="AR43" t="s">
        <v>194</v>
      </c>
      <c r="AS43" t="s">
        <v>185</v>
      </c>
      <c r="AU43">
        <v>43678</v>
      </c>
      <c r="AX43" t="s">
        <v>170</v>
      </c>
      <c r="AY43">
        <v>881</v>
      </c>
      <c r="AZ43" t="s">
        <v>186</v>
      </c>
      <c r="BA43" t="s">
        <v>185</v>
      </c>
      <c r="BG43" t="s">
        <v>170</v>
      </c>
      <c r="BH43" t="s">
        <v>402</v>
      </c>
      <c r="BJ43" t="s">
        <v>211</v>
      </c>
      <c r="BK43">
        <v>0</v>
      </c>
      <c r="BN43" t="s">
        <v>618</v>
      </c>
      <c r="BO43">
        <v>24</v>
      </c>
      <c r="BP43">
        <v>1</v>
      </c>
    </row>
    <row r="44" spans="1:68" x14ac:dyDescent="0.25">
      <c r="A44" t="s">
        <v>619</v>
      </c>
      <c r="B44" s="1">
        <v>46181</v>
      </c>
      <c r="E44" t="s">
        <v>170</v>
      </c>
      <c r="F44">
        <v>0</v>
      </c>
      <c r="G44" t="s">
        <v>170</v>
      </c>
      <c r="H44">
        <v>7.67</v>
      </c>
      <c r="J44" t="s">
        <v>170</v>
      </c>
      <c r="L44" t="s">
        <v>208</v>
      </c>
      <c r="M44" t="s">
        <v>188</v>
      </c>
      <c r="P44">
        <v>0</v>
      </c>
      <c r="Q44" t="s">
        <v>197</v>
      </c>
      <c r="R44" t="s">
        <v>174</v>
      </c>
      <c r="S44" t="s">
        <v>190</v>
      </c>
      <c r="T44" t="s">
        <v>191</v>
      </c>
      <c r="U44" t="s">
        <v>209</v>
      </c>
      <c r="V44" t="s">
        <v>210</v>
      </c>
      <c r="Z44" t="s">
        <v>170</v>
      </c>
      <c r="AA44">
        <v>0</v>
      </c>
      <c r="AB44" t="s">
        <v>179</v>
      </c>
      <c r="AC44" t="s">
        <v>170</v>
      </c>
      <c r="AD44" t="s">
        <v>170</v>
      </c>
      <c r="AE44" t="s">
        <v>179</v>
      </c>
      <c r="AF44" t="s">
        <v>180</v>
      </c>
      <c r="AG44" t="s">
        <v>181</v>
      </c>
      <c r="AH44" t="s">
        <v>73</v>
      </c>
      <c r="AI44" t="s">
        <v>210</v>
      </c>
      <c r="AJ44">
        <v>1</v>
      </c>
      <c r="AL44" t="s">
        <v>170</v>
      </c>
      <c r="AM44" t="s">
        <v>170</v>
      </c>
      <c r="AN44" t="s">
        <v>170</v>
      </c>
      <c r="AO44" t="s">
        <v>183</v>
      </c>
      <c r="AP44">
        <v>1</v>
      </c>
      <c r="AQ44" t="s">
        <v>170</v>
      </c>
      <c r="AR44" t="s">
        <v>194</v>
      </c>
      <c r="AS44" t="s">
        <v>185</v>
      </c>
      <c r="AU44">
        <v>43525</v>
      </c>
      <c r="AX44" t="s">
        <v>170</v>
      </c>
      <c r="AY44">
        <v>860</v>
      </c>
      <c r="AZ44" t="s">
        <v>186</v>
      </c>
      <c r="BA44" t="s">
        <v>185</v>
      </c>
      <c r="BG44" t="s">
        <v>170</v>
      </c>
      <c r="BH44" t="s">
        <v>619</v>
      </c>
      <c r="BJ44" t="s">
        <v>211</v>
      </c>
      <c r="BK44">
        <v>0</v>
      </c>
      <c r="BN44" t="s">
        <v>620</v>
      </c>
      <c r="BO44">
        <v>24</v>
      </c>
      <c r="BP44">
        <v>1</v>
      </c>
    </row>
    <row r="45" spans="1:68" x14ac:dyDescent="0.25">
      <c r="A45" t="s">
        <v>255</v>
      </c>
      <c r="B45" s="1">
        <v>46181</v>
      </c>
      <c r="E45" t="s">
        <v>170</v>
      </c>
      <c r="F45">
        <v>0</v>
      </c>
      <c r="G45" t="s">
        <v>170</v>
      </c>
      <c r="H45">
        <v>7.67</v>
      </c>
      <c r="J45" t="s">
        <v>170</v>
      </c>
      <c r="L45" t="s">
        <v>208</v>
      </c>
      <c r="M45" t="s">
        <v>172</v>
      </c>
      <c r="P45">
        <v>0</v>
      </c>
      <c r="Q45" t="s">
        <v>173</v>
      </c>
      <c r="R45" t="s">
        <v>256</v>
      </c>
      <c r="S45" t="s">
        <v>190</v>
      </c>
      <c r="T45" t="s">
        <v>191</v>
      </c>
      <c r="U45" t="s">
        <v>201</v>
      </c>
      <c r="V45" t="s">
        <v>202</v>
      </c>
      <c r="Z45" t="s">
        <v>170</v>
      </c>
      <c r="AA45">
        <v>0</v>
      </c>
      <c r="AB45" t="s">
        <v>179</v>
      </c>
      <c r="AC45" t="s">
        <v>170</v>
      </c>
      <c r="AD45" t="s">
        <v>170</v>
      </c>
      <c r="AE45" t="s">
        <v>179</v>
      </c>
      <c r="AF45" t="s">
        <v>180</v>
      </c>
      <c r="AG45" t="s">
        <v>181</v>
      </c>
      <c r="AH45" t="s">
        <v>73</v>
      </c>
      <c r="AI45" t="s">
        <v>202</v>
      </c>
      <c r="AJ45">
        <v>1</v>
      </c>
      <c r="AL45" t="s">
        <v>170</v>
      </c>
      <c r="AM45" t="s">
        <v>170</v>
      </c>
      <c r="AN45" t="s">
        <v>170</v>
      </c>
      <c r="AO45" t="s">
        <v>256</v>
      </c>
      <c r="AP45">
        <v>1</v>
      </c>
      <c r="AQ45" t="s">
        <v>170</v>
      </c>
      <c r="AR45" t="s">
        <v>184</v>
      </c>
      <c r="AS45" t="s">
        <v>185</v>
      </c>
      <c r="AU45">
        <v>43191</v>
      </c>
      <c r="AX45" t="s">
        <v>170</v>
      </c>
      <c r="AY45">
        <v>800</v>
      </c>
      <c r="AZ45" t="s">
        <v>186</v>
      </c>
      <c r="BA45" t="s">
        <v>185</v>
      </c>
      <c r="BG45" t="s">
        <v>170</v>
      </c>
      <c r="BH45" t="s">
        <v>255</v>
      </c>
      <c r="BI45">
        <v>0</v>
      </c>
      <c r="BJ45" t="s">
        <v>195</v>
      </c>
      <c r="BK45">
        <v>0</v>
      </c>
      <c r="BN45" t="s">
        <v>621</v>
      </c>
      <c r="BO45">
        <v>24</v>
      </c>
      <c r="BP45">
        <v>1</v>
      </c>
    </row>
    <row r="46" spans="1:68" x14ac:dyDescent="0.25">
      <c r="A46" t="s">
        <v>335</v>
      </c>
      <c r="B46" s="1">
        <v>46181</v>
      </c>
      <c r="E46" t="s">
        <v>170</v>
      </c>
      <c r="F46">
        <v>0</v>
      </c>
      <c r="G46" t="s">
        <v>170</v>
      </c>
      <c r="H46">
        <v>8</v>
      </c>
      <c r="J46" t="s">
        <v>170</v>
      </c>
      <c r="L46" t="s">
        <v>187</v>
      </c>
      <c r="M46" t="s">
        <v>188</v>
      </c>
      <c r="P46">
        <v>0</v>
      </c>
      <c r="Q46" t="s">
        <v>197</v>
      </c>
      <c r="R46" t="s">
        <v>174</v>
      </c>
      <c r="S46" t="s">
        <v>190</v>
      </c>
      <c r="T46" t="s">
        <v>191</v>
      </c>
      <c r="U46" t="s">
        <v>209</v>
      </c>
      <c r="V46" t="s">
        <v>210</v>
      </c>
      <c r="Z46" t="s">
        <v>170</v>
      </c>
      <c r="AA46">
        <v>0</v>
      </c>
      <c r="AB46" t="s">
        <v>179</v>
      </c>
      <c r="AC46" t="s">
        <v>170</v>
      </c>
      <c r="AD46" t="s">
        <v>170</v>
      </c>
      <c r="AE46" t="s">
        <v>179</v>
      </c>
      <c r="AF46" t="s">
        <v>180</v>
      </c>
      <c r="AG46" t="s">
        <v>181</v>
      </c>
      <c r="AH46" t="s">
        <v>72</v>
      </c>
      <c r="AI46" t="s">
        <v>210</v>
      </c>
      <c r="AJ46">
        <v>1</v>
      </c>
      <c r="AL46" t="s">
        <v>170</v>
      </c>
      <c r="AM46" t="s">
        <v>170</v>
      </c>
      <c r="AN46" t="s">
        <v>170</v>
      </c>
      <c r="AO46" t="s">
        <v>183</v>
      </c>
      <c r="AP46">
        <v>1</v>
      </c>
      <c r="AQ46" t="s">
        <v>170</v>
      </c>
      <c r="AR46" t="s">
        <v>194</v>
      </c>
      <c r="AS46" t="s">
        <v>185</v>
      </c>
      <c r="AU46">
        <v>41787</v>
      </c>
      <c r="AX46" t="s">
        <v>170</v>
      </c>
      <c r="AY46">
        <v>619</v>
      </c>
      <c r="AZ46" t="s">
        <v>186</v>
      </c>
      <c r="BA46" t="s">
        <v>185</v>
      </c>
      <c r="BG46" t="s">
        <v>170</v>
      </c>
      <c r="BH46" t="s">
        <v>335</v>
      </c>
      <c r="BI46">
        <v>1</v>
      </c>
      <c r="BJ46" t="s">
        <v>211</v>
      </c>
      <c r="BK46">
        <v>0</v>
      </c>
      <c r="BN46" t="s">
        <v>622</v>
      </c>
      <c r="BO46">
        <v>24</v>
      </c>
      <c r="BP46">
        <v>1</v>
      </c>
    </row>
    <row r="47" spans="1:68" x14ac:dyDescent="0.25">
      <c r="A47" t="s">
        <v>258</v>
      </c>
      <c r="B47" s="1">
        <v>46181</v>
      </c>
      <c r="E47" t="s">
        <v>170</v>
      </c>
      <c r="F47">
        <v>0</v>
      </c>
      <c r="G47" t="s">
        <v>170</v>
      </c>
      <c r="H47">
        <v>8</v>
      </c>
      <c r="J47" t="s">
        <v>170</v>
      </c>
      <c r="L47" t="s">
        <v>187</v>
      </c>
      <c r="M47" t="s">
        <v>188</v>
      </c>
      <c r="P47">
        <v>0</v>
      </c>
      <c r="Q47" t="s">
        <v>197</v>
      </c>
      <c r="R47" t="s">
        <v>174</v>
      </c>
      <c r="S47" t="s">
        <v>190</v>
      </c>
      <c r="T47" t="s">
        <v>191</v>
      </c>
      <c r="U47" t="s">
        <v>205</v>
      </c>
      <c r="V47" t="s">
        <v>206</v>
      </c>
      <c r="Z47" t="s">
        <v>170</v>
      </c>
      <c r="AA47">
        <v>0</v>
      </c>
      <c r="AB47" t="s">
        <v>179</v>
      </c>
      <c r="AC47" t="s">
        <v>170</v>
      </c>
      <c r="AD47" t="s">
        <v>170</v>
      </c>
      <c r="AE47" t="s">
        <v>179</v>
      </c>
      <c r="AF47" t="s">
        <v>180</v>
      </c>
      <c r="AG47" t="s">
        <v>181</v>
      </c>
      <c r="AH47" t="s">
        <v>72</v>
      </c>
      <c r="AI47" t="s">
        <v>206</v>
      </c>
      <c r="AJ47">
        <v>1</v>
      </c>
      <c r="AL47" t="s">
        <v>170</v>
      </c>
      <c r="AM47" t="s">
        <v>170</v>
      </c>
      <c r="AN47" t="s">
        <v>170</v>
      </c>
      <c r="AO47" t="s">
        <v>183</v>
      </c>
      <c r="AP47">
        <v>1</v>
      </c>
      <c r="AQ47" t="s">
        <v>170</v>
      </c>
      <c r="AR47" t="s">
        <v>194</v>
      </c>
      <c r="AS47" t="s">
        <v>185</v>
      </c>
      <c r="AU47">
        <v>43009</v>
      </c>
      <c r="AX47" t="s">
        <v>170</v>
      </c>
      <c r="AY47">
        <v>763</v>
      </c>
      <c r="AZ47" t="s">
        <v>186</v>
      </c>
      <c r="BA47" t="s">
        <v>185</v>
      </c>
      <c r="BG47" t="s">
        <v>170</v>
      </c>
      <c r="BH47" t="s">
        <v>258</v>
      </c>
      <c r="BI47">
        <v>0</v>
      </c>
      <c r="BK47">
        <v>0</v>
      </c>
      <c r="BN47" t="s">
        <v>623</v>
      </c>
      <c r="BO47">
        <v>24</v>
      </c>
      <c r="BP47">
        <v>1</v>
      </c>
    </row>
    <row r="48" spans="1:68" x14ac:dyDescent="0.25">
      <c r="A48" t="s">
        <v>410</v>
      </c>
      <c r="B48" s="1">
        <v>46181</v>
      </c>
      <c r="E48" t="s">
        <v>170</v>
      </c>
      <c r="F48">
        <v>0</v>
      </c>
      <c r="G48" t="s">
        <v>170</v>
      </c>
      <c r="H48">
        <v>7.67</v>
      </c>
      <c r="J48" t="s">
        <v>170</v>
      </c>
      <c r="L48" t="s">
        <v>171</v>
      </c>
      <c r="M48" t="s">
        <v>172</v>
      </c>
      <c r="P48">
        <v>0</v>
      </c>
      <c r="Q48" t="s">
        <v>173</v>
      </c>
      <c r="R48" t="s">
        <v>174</v>
      </c>
      <c r="S48" t="s">
        <v>175</v>
      </c>
      <c r="T48" t="s">
        <v>176</v>
      </c>
      <c r="U48" t="s">
        <v>177</v>
      </c>
      <c r="V48" t="s">
        <v>178</v>
      </c>
      <c r="Z48" t="s">
        <v>170</v>
      </c>
      <c r="AA48">
        <v>0</v>
      </c>
      <c r="AB48" t="s">
        <v>179</v>
      </c>
      <c r="AC48" t="s">
        <v>170</v>
      </c>
      <c r="AD48" t="s">
        <v>170</v>
      </c>
      <c r="AE48" t="s">
        <v>179</v>
      </c>
      <c r="AF48" t="s">
        <v>180</v>
      </c>
      <c r="AG48" t="s">
        <v>181</v>
      </c>
      <c r="AH48" t="s">
        <v>73</v>
      </c>
      <c r="AI48" t="s">
        <v>182</v>
      </c>
      <c r="AJ48">
        <v>1</v>
      </c>
      <c r="AL48" t="s">
        <v>170</v>
      </c>
      <c r="AM48" t="s">
        <v>170</v>
      </c>
      <c r="AN48" t="s">
        <v>170</v>
      </c>
      <c r="AO48" t="s">
        <v>183</v>
      </c>
      <c r="AP48">
        <v>1</v>
      </c>
      <c r="AQ48" t="s">
        <v>170</v>
      </c>
      <c r="AR48" t="s">
        <v>184</v>
      </c>
      <c r="AS48" t="s">
        <v>185</v>
      </c>
      <c r="AU48">
        <v>45526</v>
      </c>
      <c r="AX48" t="s">
        <v>170</v>
      </c>
      <c r="AY48">
        <v>10605487</v>
      </c>
      <c r="AZ48" t="s">
        <v>186</v>
      </c>
      <c r="BA48" t="s">
        <v>185</v>
      </c>
      <c r="BG48" t="s">
        <v>170</v>
      </c>
      <c r="BH48" t="s">
        <v>410</v>
      </c>
      <c r="BK48">
        <v>0</v>
      </c>
      <c r="BN48" t="s">
        <v>624</v>
      </c>
      <c r="BO48">
        <v>24</v>
      </c>
      <c r="BP48">
        <v>1</v>
      </c>
    </row>
    <row r="49" spans="1:68" x14ac:dyDescent="0.25">
      <c r="A49" t="s">
        <v>625</v>
      </c>
      <c r="B49" s="1">
        <v>46181</v>
      </c>
      <c r="E49" t="s">
        <v>170</v>
      </c>
      <c r="F49">
        <v>0</v>
      </c>
      <c r="G49" t="s">
        <v>170</v>
      </c>
      <c r="H49">
        <v>7.67</v>
      </c>
      <c r="J49" t="s">
        <v>170</v>
      </c>
      <c r="L49" t="s">
        <v>171</v>
      </c>
      <c r="M49" t="s">
        <v>172</v>
      </c>
      <c r="P49">
        <v>0</v>
      </c>
      <c r="Q49" t="s">
        <v>173</v>
      </c>
      <c r="R49" t="s">
        <v>174</v>
      </c>
      <c r="S49" t="s">
        <v>175</v>
      </c>
      <c r="T49" t="s">
        <v>176</v>
      </c>
      <c r="U49" t="s">
        <v>177</v>
      </c>
      <c r="V49" t="s">
        <v>178</v>
      </c>
      <c r="Z49" t="s">
        <v>170</v>
      </c>
      <c r="AA49">
        <v>0</v>
      </c>
      <c r="AB49" t="s">
        <v>179</v>
      </c>
      <c r="AC49" t="s">
        <v>170</v>
      </c>
      <c r="AD49" t="s">
        <v>170</v>
      </c>
      <c r="AE49" t="s">
        <v>179</v>
      </c>
      <c r="AF49" t="s">
        <v>180</v>
      </c>
      <c r="AG49" t="s">
        <v>181</v>
      </c>
      <c r="AH49" t="s">
        <v>73</v>
      </c>
      <c r="AI49" t="s">
        <v>182</v>
      </c>
      <c r="AJ49">
        <v>1</v>
      </c>
      <c r="AL49" t="s">
        <v>170</v>
      </c>
      <c r="AM49" t="s">
        <v>170</v>
      </c>
      <c r="AN49" t="s">
        <v>170</v>
      </c>
      <c r="AO49" t="s">
        <v>183</v>
      </c>
      <c r="AP49">
        <v>1</v>
      </c>
      <c r="AQ49" t="s">
        <v>170</v>
      </c>
      <c r="AR49" t="s">
        <v>184</v>
      </c>
      <c r="AS49" t="s">
        <v>185</v>
      </c>
      <c r="AU49">
        <v>45169</v>
      </c>
      <c r="AX49" t="s">
        <v>170</v>
      </c>
      <c r="AY49">
        <v>8422631</v>
      </c>
      <c r="AZ49" t="s">
        <v>186</v>
      </c>
      <c r="BA49" t="s">
        <v>185</v>
      </c>
      <c r="BG49" t="s">
        <v>170</v>
      </c>
      <c r="BH49" t="s">
        <v>625</v>
      </c>
      <c r="BK49">
        <v>0</v>
      </c>
      <c r="BN49" t="s">
        <v>626</v>
      </c>
      <c r="BO49">
        <v>24</v>
      </c>
      <c r="BP49">
        <v>1</v>
      </c>
    </row>
    <row r="50" spans="1:68" x14ac:dyDescent="0.25">
      <c r="A50" t="s">
        <v>415</v>
      </c>
      <c r="B50" s="1">
        <v>46181</v>
      </c>
      <c r="C50" t="s">
        <v>170</v>
      </c>
      <c r="D50" t="s">
        <v>170</v>
      </c>
      <c r="F50">
        <v>0</v>
      </c>
      <c r="G50" t="s">
        <v>170</v>
      </c>
      <c r="H50">
        <v>7.67</v>
      </c>
      <c r="J50" t="s">
        <v>170</v>
      </c>
      <c r="L50" t="s">
        <v>171</v>
      </c>
      <c r="M50" t="s">
        <v>172</v>
      </c>
      <c r="P50">
        <v>0</v>
      </c>
      <c r="Q50" t="s">
        <v>173</v>
      </c>
      <c r="R50" t="s">
        <v>174</v>
      </c>
      <c r="S50" t="s">
        <v>175</v>
      </c>
      <c r="T50" t="s">
        <v>176</v>
      </c>
      <c r="U50" t="s">
        <v>177</v>
      </c>
      <c r="V50" t="s">
        <v>178</v>
      </c>
      <c r="Z50" t="s">
        <v>170</v>
      </c>
      <c r="AA50">
        <v>0</v>
      </c>
      <c r="AB50" t="s">
        <v>179</v>
      </c>
      <c r="AC50" t="s">
        <v>170</v>
      </c>
      <c r="AD50" t="s">
        <v>170</v>
      </c>
      <c r="AE50" t="s">
        <v>179</v>
      </c>
      <c r="AF50" t="s">
        <v>180</v>
      </c>
      <c r="AG50" t="s">
        <v>181</v>
      </c>
      <c r="AH50" t="s">
        <v>73</v>
      </c>
      <c r="AI50" t="s">
        <v>182</v>
      </c>
      <c r="AJ50">
        <v>1</v>
      </c>
      <c r="AL50" t="s">
        <v>170</v>
      </c>
      <c r="AM50" t="s">
        <v>170</v>
      </c>
      <c r="AN50" t="s">
        <v>170</v>
      </c>
      <c r="AO50" t="s">
        <v>183</v>
      </c>
      <c r="AP50">
        <v>1</v>
      </c>
      <c r="AQ50" t="s">
        <v>170</v>
      </c>
      <c r="AR50" t="s">
        <v>184</v>
      </c>
      <c r="AS50" t="s">
        <v>185</v>
      </c>
      <c r="AU50">
        <v>45526</v>
      </c>
      <c r="AX50" t="s">
        <v>170</v>
      </c>
      <c r="AY50">
        <v>13871399</v>
      </c>
      <c r="AZ50" t="s">
        <v>186</v>
      </c>
      <c r="BA50" t="s">
        <v>185</v>
      </c>
      <c r="BD50" t="s">
        <v>301</v>
      </c>
      <c r="BE50">
        <v>7.67</v>
      </c>
      <c r="BF50" t="s">
        <v>302</v>
      </c>
      <c r="BG50" t="s">
        <v>301</v>
      </c>
      <c r="BH50" t="s">
        <v>415</v>
      </c>
      <c r="BK50">
        <v>0</v>
      </c>
      <c r="BN50" t="s">
        <v>627</v>
      </c>
      <c r="BO50">
        <v>24</v>
      </c>
      <c r="BP50">
        <v>1</v>
      </c>
    </row>
    <row r="51" spans="1:68" x14ac:dyDescent="0.25">
      <c r="A51" t="s">
        <v>564</v>
      </c>
      <c r="B51" s="1">
        <v>46181</v>
      </c>
      <c r="E51" t="s">
        <v>170</v>
      </c>
      <c r="F51">
        <v>0</v>
      </c>
      <c r="G51" t="s">
        <v>170</v>
      </c>
      <c r="H51">
        <v>8</v>
      </c>
      <c r="J51" t="s">
        <v>170</v>
      </c>
      <c r="L51" t="s">
        <v>347</v>
      </c>
      <c r="M51" t="s">
        <v>172</v>
      </c>
      <c r="P51">
        <v>0</v>
      </c>
      <c r="Q51" t="s">
        <v>173</v>
      </c>
      <c r="R51" t="s">
        <v>174</v>
      </c>
      <c r="S51" t="s">
        <v>175</v>
      </c>
      <c r="T51" t="s">
        <v>176</v>
      </c>
      <c r="U51" t="s">
        <v>177</v>
      </c>
      <c r="V51" t="s">
        <v>178</v>
      </c>
      <c r="Z51" t="s">
        <v>170</v>
      </c>
      <c r="AA51">
        <v>0</v>
      </c>
      <c r="AB51" t="s">
        <v>179</v>
      </c>
      <c r="AC51" t="s">
        <v>170</v>
      </c>
      <c r="AD51" t="s">
        <v>170</v>
      </c>
      <c r="AE51" t="s">
        <v>179</v>
      </c>
      <c r="AF51" t="s">
        <v>180</v>
      </c>
      <c r="AG51" t="s">
        <v>181</v>
      </c>
      <c r="AH51" t="s">
        <v>72</v>
      </c>
      <c r="AI51" t="s">
        <v>182</v>
      </c>
      <c r="AJ51">
        <v>1</v>
      </c>
      <c r="AL51" t="s">
        <v>170</v>
      </c>
      <c r="AM51" t="s">
        <v>170</v>
      </c>
      <c r="AN51" t="s">
        <v>170</v>
      </c>
      <c r="AO51" t="s">
        <v>183</v>
      </c>
      <c r="AP51">
        <v>1</v>
      </c>
      <c r="AQ51" t="s">
        <v>170</v>
      </c>
      <c r="AR51" t="s">
        <v>184</v>
      </c>
      <c r="AS51" t="s">
        <v>185</v>
      </c>
      <c r="AU51">
        <v>45670</v>
      </c>
      <c r="AX51" t="s">
        <v>170</v>
      </c>
      <c r="AY51">
        <v>14739398</v>
      </c>
      <c r="AZ51" t="s">
        <v>186</v>
      </c>
      <c r="BA51" t="s">
        <v>185</v>
      </c>
      <c r="BG51" t="s">
        <v>170</v>
      </c>
      <c r="BH51" t="s">
        <v>564</v>
      </c>
      <c r="BK51">
        <v>0</v>
      </c>
      <c r="BN51" t="s">
        <v>628</v>
      </c>
      <c r="BO51">
        <v>24</v>
      </c>
      <c r="BP51">
        <v>1</v>
      </c>
    </row>
    <row r="52" spans="1:68" x14ac:dyDescent="0.25">
      <c r="A52" t="s">
        <v>565</v>
      </c>
      <c r="B52" s="1">
        <v>46181</v>
      </c>
      <c r="E52" t="s">
        <v>170</v>
      </c>
      <c r="F52">
        <v>0</v>
      </c>
      <c r="G52" t="s">
        <v>170</v>
      </c>
      <c r="H52">
        <v>7.67</v>
      </c>
      <c r="J52" t="s">
        <v>170</v>
      </c>
      <c r="L52" t="s">
        <v>171</v>
      </c>
      <c r="M52" t="s">
        <v>172</v>
      </c>
      <c r="P52">
        <v>0</v>
      </c>
      <c r="Q52" t="s">
        <v>173</v>
      </c>
      <c r="R52" t="s">
        <v>174</v>
      </c>
      <c r="S52" t="s">
        <v>175</v>
      </c>
      <c r="T52" t="s">
        <v>176</v>
      </c>
      <c r="U52" t="s">
        <v>177</v>
      </c>
      <c r="V52" t="s">
        <v>178</v>
      </c>
      <c r="Z52" t="s">
        <v>170</v>
      </c>
      <c r="AA52">
        <v>0</v>
      </c>
      <c r="AB52" t="s">
        <v>179</v>
      </c>
      <c r="AC52" t="s">
        <v>170</v>
      </c>
      <c r="AD52" t="s">
        <v>170</v>
      </c>
      <c r="AE52" t="s">
        <v>179</v>
      </c>
      <c r="AF52" t="s">
        <v>180</v>
      </c>
      <c r="AG52" t="s">
        <v>181</v>
      </c>
      <c r="AH52" t="s">
        <v>73</v>
      </c>
      <c r="AI52" t="s">
        <v>182</v>
      </c>
      <c r="AJ52">
        <v>1</v>
      </c>
      <c r="AL52" t="s">
        <v>170</v>
      </c>
      <c r="AM52" t="s">
        <v>170</v>
      </c>
      <c r="AN52" t="s">
        <v>170</v>
      </c>
      <c r="AO52" t="s">
        <v>183</v>
      </c>
      <c r="AP52">
        <v>1</v>
      </c>
      <c r="AQ52" t="s">
        <v>170</v>
      </c>
      <c r="AR52" t="s">
        <v>184</v>
      </c>
      <c r="AS52" t="s">
        <v>185</v>
      </c>
      <c r="AU52">
        <v>45687</v>
      </c>
      <c r="AX52" t="s">
        <v>170</v>
      </c>
      <c r="AY52">
        <v>9019045</v>
      </c>
      <c r="AZ52" t="s">
        <v>186</v>
      </c>
      <c r="BA52" t="s">
        <v>185</v>
      </c>
      <c r="BG52" t="s">
        <v>170</v>
      </c>
      <c r="BH52" t="s">
        <v>565</v>
      </c>
      <c r="BK52">
        <v>0</v>
      </c>
      <c r="BN52" t="s">
        <v>629</v>
      </c>
      <c r="BO52">
        <v>24</v>
      </c>
      <c r="BP52">
        <v>1</v>
      </c>
    </row>
    <row r="53" spans="1:68" x14ac:dyDescent="0.25">
      <c r="A53" t="s">
        <v>630</v>
      </c>
      <c r="B53" s="1">
        <v>46181</v>
      </c>
      <c r="E53" t="s">
        <v>170</v>
      </c>
      <c r="F53">
        <v>0</v>
      </c>
      <c r="G53" t="s">
        <v>170</v>
      </c>
      <c r="H53">
        <v>7.67</v>
      </c>
      <c r="J53" t="s">
        <v>170</v>
      </c>
      <c r="L53" t="s">
        <v>171</v>
      </c>
      <c r="M53" t="s">
        <v>172</v>
      </c>
      <c r="P53">
        <v>0</v>
      </c>
      <c r="Q53" t="s">
        <v>173</v>
      </c>
      <c r="R53" t="s">
        <v>174</v>
      </c>
      <c r="S53" t="s">
        <v>175</v>
      </c>
      <c r="T53" t="s">
        <v>176</v>
      </c>
      <c r="U53" t="s">
        <v>177</v>
      </c>
      <c r="V53" t="s">
        <v>178</v>
      </c>
      <c r="Z53" t="s">
        <v>170</v>
      </c>
      <c r="AA53">
        <v>0</v>
      </c>
      <c r="AB53" t="s">
        <v>179</v>
      </c>
      <c r="AC53" t="s">
        <v>170</v>
      </c>
      <c r="AD53" t="s">
        <v>170</v>
      </c>
      <c r="AE53" t="s">
        <v>179</v>
      </c>
      <c r="AF53" t="s">
        <v>180</v>
      </c>
      <c r="AG53" t="s">
        <v>181</v>
      </c>
      <c r="AH53" t="s">
        <v>73</v>
      </c>
      <c r="AI53" t="s">
        <v>182</v>
      </c>
      <c r="AJ53">
        <v>1</v>
      </c>
      <c r="AL53" t="s">
        <v>170</v>
      </c>
      <c r="AM53" t="s">
        <v>170</v>
      </c>
      <c r="AN53" t="s">
        <v>170</v>
      </c>
      <c r="AO53" t="s">
        <v>183</v>
      </c>
      <c r="AP53">
        <v>1</v>
      </c>
      <c r="AQ53" t="s">
        <v>170</v>
      </c>
      <c r="AR53" t="s">
        <v>184</v>
      </c>
      <c r="AS53" t="s">
        <v>185</v>
      </c>
      <c r="AU53">
        <v>45736</v>
      </c>
      <c r="AX53" t="s">
        <v>170</v>
      </c>
      <c r="AY53">
        <v>13348729</v>
      </c>
      <c r="AZ53" t="s">
        <v>186</v>
      </c>
      <c r="BA53" t="s">
        <v>185</v>
      </c>
      <c r="BG53" t="s">
        <v>170</v>
      </c>
      <c r="BH53" t="s">
        <v>630</v>
      </c>
      <c r="BK53">
        <v>0</v>
      </c>
      <c r="BN53" t="s">
        <v>631</v>
      </c>
      <c r="BO53">
        <v>24</v>
      </c>
      <c r="BP53">
        <v>1</v>
      </c>
    </row>
    <row r="54" spans="1:68" x14ac:dyDescent="0.25">
      <c r="A54" t="s">
        <v>346</v>
      </c>
      <c r="B54" s="1">
        <v>46181</v>
      </c>
      <c r="E54" t="s">
        <v>170</v>
      </c>
      <c r="F54">
        <v>0</v>
      </c>
      <c r="G54" t="s">
        <v>170</v>
      </c>
      <c r="H54">
        <v>8</v>
      </c>
      <c r="J54" t="s">
        <v>170</v>
      </c>
      <c r="L54" t="s">
        <v>347</v>
      </c>
      <c r="M54" t="s">
        <v>222</v>
      </c>
      <c r="P54">
        <v>0</v>
      </c>
      <c r="Q54" t="s">
        <v>197</v>
      </c>
      <c r="R54" t="s">
        <v>174</v>
      </c>
      <c r="S54" t="s">
        <v>175</v>
      </c>
      <c r="T54" t="s">
        <v>348</v>
      </c>
      <c r="U54" t="s">
        <v>349</v>
      </c>
      <c r="V54" t="s">
        <v>262</v>
      </c>
      <c r="Z54" t="s">
        <v>170</v>
      </c>
      <c r="AA54">
        <v>0</v>
      </c>
      <c r="AB54" t="s">
        <v>179</v>
      </c>
      <c r="AC54" t="s">
        <v>170</v>
      </c>
      <c r="AD54" t="s">
        <v>170</v>
      </c>
      <c r="AE54" t="s">
        <v>179</v>
      </c>
      <c r="AF54" t="s">
        <v>180</v>
      </c>
      <c r="AG54" t="s">
        <v>181</v>
      </c>
      <c r="AH54" t="s">
        <v>72</v>
      </c>
      <c r="AI54" t="s">
        <v>210</v>
      </c>
      <c r="AJ54">
        <v>1</v>
      </c>
      <c r="AL54" t="s">
        <v>170</v>
      </c>
      <c r="AM54" t="s">
        <v>170</v>
      </c>
      <c r="AN54" t="s">
        <v>170</v>
      </c>
      <c r="AO54" t="s">
        <v>183</v>
      </c>
      <c r="AP54">
        <v>1</v>
      </c>
      <c r="AQ54" t="s">
        <v>170</v>
      </c>
      <c r="AR54" t="s">
        <v>222</v>
      </c>
      <c r="AS54" t="s">
        <v>185</v>
      </c>
      <c r="AU54">
        <v>45770</v>
      </c>
      <c r="AX54" t="s">
        <v>170</v>
      </c>
      <c r="AY54">
        <v>10864806</v>
      </c>
      <c r="AZ54" t="s">
        <v>186</v>
      </c>
      <c r="BA54" t="s">
        <v>185</v>
      </c>
      <c r="BG54" t="s">
        <v>170</v>
      </c>
      <c r="BH54" t="s">
        <v>346</v>
      </c>
      <c r="BK54">
        <v>0</v>
      </c>
      <c r="BN54" t="s">
        <v>632</v>
      </c>
      <c r="BO54">
        <v>24</v>
      </c>
      <c r="BP54">
        <v>1</v>
      </c>
    </row>
    <row r="55" spans="1:68" x14ac:dyDescent="0.25">
      <c r="A55" t="s">
        <v>419</v>
      </c>
      <c r="B55" s="1">
        <v>46181</v>
      </c>
      <c r="E55" t="s">
        <v>170</v>
      </c>
      <c r="F55">
        <v>0</v>
      </c>
      <c r="G55" t="s">
        <v>170</v>
      </c>
      <c r="H55">
        <v>7.67</v>
      </c>
      <c r="J55" t="s">
        <v>170</v>
      </c>
      <c r="L55" t="s">
        <v>171</v>
      </c>
      <c r="M55" t="s">
        <v>172</v>
      </c>
      <c r="P55">
        <v>0</v>
      </c>
      <c r="Q55" t="s">
        <v>173</v>
      </c>
      <c r="R55" t="s">
        <v>174</v>
      </c>
      <c r="S55" t="s">
        <v>175</v>
      </c>
      <c r="T55" t="s">
        <v>176</v>
      </c>
      <c r="U55" t="s">
        <v>177</v>
      </c>
      <c r="V55" t="s">
        <v>178</v>
      </c>
      <c r="Z55" t="s">
        <v>170</v>
      </c>
      <c r="AA55">
        <v>0</v>
      </c>
      <c r="AB55" t="s">
        <v>179</v>
      </c>
      <c r="AC55" t="s">
        <v>170</v>
      </c>
      <c r="AD55" t="s">
        <v>170</v>
      </c>
      <c r="AE55" t="s">
        <v>179</v>
      </c>
      <c r="AF55" t="s">
        <v>180</v>
      </c>
      <c r="AG55" t="s">
        <v>181</v>
      </c>
      <c r="AH55" t="s">
        <v>73</v>
      </c>
      <c r="AI55" t="s">
        <v>182</v>
      </c>
      <c r="AJ55">
        <v>1</v>
      </c>
      <c r="AL55" t="s">
        <v>170</v>
      </c>
      <c r="AM55" t="s">
        <v>170</v>
      </c>
      <c r="AN55" t="s">
        <v>170</v>
      </c>
      <c r="AO55" t="s">
        <v>183</v>
      </c>
      <c r="AP55">
        <v>1</v>
      </c>
      <c r="AQ55" t="s">
        <v>170</v>
      </c>
      <c r="AR55" t="s">
        <v>184</v>
      </c>
      <c r="AS55" t="s">
        <v>185</v>
      </c>
      <c r="AU55">
        <v>45782</v>
      </c>
      <c r="AX55" t="s">
        <v>170</v>
      </c>
      <c r="AY55">
        <v>13624455</v>
      </c>
      <c r="AZ55" t="s">
        <v>186</v>
      </c>
      <c r="BA55" t="s">
        <v>185</v>
      </c>
      <c r="BG55" t="s">
        <v>170</v>
      </c>
      <c r="BH55" t="s">
        <v>419</v>
      </c>
      <c r="BK55">
        <v>0</v>
      </c>
      <c r="BN55" t="s">
        <v>633</v>
      </c>
      <c r="BO55">
        <v>24</v>
      </c>
      <c r="BP55">
        <v>1</v>
      </c>
    </row>
    <row r="56" spans="1:68" x14ac:dyDescent="0.25">
      <c r="A56" t="s">
        <v>634</v>
      </c>
      <c r="B56" s="1">
        <v>46181</v>
      </c>
      <c r="E56" t="s">
        <v>170</v>
      </c>
      <c r="F56">
        <v>0</v>
      </c>
      <c r="G56" t="s">
        <v>170</v>
      </c>
      <c r="H56">
        <v>7.67</v>
      </c>
      <c r="J56" t="s">
        <v>170</v>
      </c>
      <c r="L56" t="s">
        <v>171</v>
      </c>
      <c r="M56" t="s">
        <v>172</v>
      </c>
      <c r="P56">
        <v>0</v>
      </c>
      <c r="Q56" t="s">
        <v>173</v>
      </c>
      <c r="R56" t="s">
        <v>174</v>
      </c>
      <c r="S56" t="s">
        <v>175</v>
      </c>
      <c r="T56" t="s">
        <v>176</v>
      </c>
      <c r="U56" t="s">
        <v>177</v>
      </c>
      <c r="V56" t="s">
        <v>178</v>
      </c>
      <c r="Z56" t="s">
        <v>170</v>
      </c>
      <c r="AA56">
        <v>0</v>
      </c>
      <c r="AB56" t="s">
        <v>179</v>
      </c>
      <c r="AC56" t="s">
        <v>170</v>
      </c>
      <c r="AD56" t="s">
        <v>170</v>
      </c>
      <c r="AE56" t="s">
        <v>179</v>
      </c>
      <c r="AF56" t="s">
        <v>180</v>
      </c>
      <c r="AG56" t="s">
        <v>181</v>
      </c>
      <c r="AH56" t="s">
        <v>73</v>
      </c>
      <c r="AI56" t="s">
        <v>182</v>
      </c>
      <c r="AJ56">
        <v>1</v>
      </c>
      <c r="AL56" t="s">
        <v>170</v>
      </c>
      <c r="AM56" t="s">
        <v>170</v>
      </c>
      <c r="AN56" t="s">
        <v>170</v>
      </c>
      <c r="AO56" t="s">
        <v>183</v>
      </c>
      <c r="AP56">
        <v>1</v>
      </c>
      <c r="AQ56" t="s">
        <v>170</v>
      </c>
      <c r="AR56" t="s">
        <v>184</v>
      </c>
      <c r="AS56" t="s">
        <v>185</v>
      </c>
      <c r="AU56">
        <v>45782</v>
      </c>
      <c r="AX56" t="s">
        <v>170</v>
      </c>
      <c r="AY56">
        <v>14965863</v>
      </c>
      <c r="AZ56" t="s">
        <v>186</v>
      </c>
      <c r="BA56" t="s">
        <v>185</v>
      </c>
      <c r="BG56" t="s">
        <v>170</v>
      </c>
      <c r="BH56" t="s">
        <v>634</v>
      </c>
      <c r="BK56">
        <v>0</v>
      </c>
      <c r="BN56" t="s">
        <v>635</v>
      </c>
      <c r="BO56">
        <v>24</v>
      </c>
      <c r="BP56">
        <v>1</v>
      </c>
    </row>
    <row r="57" spans="1:68" x14ac:dyDescent="0.25">
      <c r="A57" t="s">
        <v>421</v>
      </c>
      <c r="B57" s="1">
        <v>46181</v>
      </c>
      <c r="E57" t="s">
        <v>170</v>
      </c>
      <c r="F57">
        <v>0</v>
      </c>
      <c r="G57" t="s">
        <v>170</v>
      </c>
      <c r="H57">
        <v>7.67</v>
      </c>
      <c r="J57" t="s">
        <v>170</v>
      </c>
      <c r="L57" t="s">
        <v>171</v>
      </c>
      <c r="M57" t="s">
        <v>172</v>
      </c>
      <c r="P57">
        <v>0</v>
      </c>
      <c r="Q57" t="s">
        <v>173</v>
      </c>
      <c r="R57" t="s">
        <v>174</v>
      </c>
      <c r="S57" t="s">
        <v>175</v>
      </c>
      <c r="T57" t="s">
        <v>176</v>
      </c>
      <c r="U57" t="s">
        <v>177</v>
      </c>
      <c r="V57" t="s">
        <v>178</v>
      </c>
      <c r="Z57" t="s">
        <v>170</v>
      </c>
      <c r="AA57">
        <v>0</v>
      </c>
      <c r="AB57" t="s">
        <v>179</v>
      </c>
      <c r="AC57" t="s">
        <v>170</v>
      </c>
      <c r="AD57" t="s">
        <v>170</v>
      </c>
      <c r="AE57" t="s">
        <v>179</v>
      </c>
      <c r="AF57" t="s">
        <v>180</v>
      </c>
      <c r="AG57" t="s">
        <v>181</v>
      </c>
      <c r="AH57" t="s">
        <v>73</v>
      </c>
      <c r="AI57" t="s">
        <v>182</v>
      </c>
      <c r="AJ57">
        <v>1</v>
      </c>
      <c r="AL57" t="s">
        <v>170</v>
      </c>
      <c r="AM57" t="s">
        <v>170</v>
      </c>
      <c r="AN57" t="s">
        <v>170</v>
      </c>
      <c r="AO57" t="s">
        <v>183</v>
      </c>
      <c r="AP57">
        <v>1</v>
      </c>
      <c r="AQ57" t="s">
        <v>170</v>
      </c>
      <c r="AR57" t="s">
        <v>184</v>
      </c>
      <c r="AS57" t="s">
        <v>185</v>
      </c>
      <c r="AU57">
        <v>45842</v>
      </c>
      <c r="AX57" t="s">
        <v>170</v>
      </c>
      <c r="AY57">
        <v>15110133</v>
      </c>
      <c r="AZ57" t="s">
        <v>186</v>
      </c>
      <c r="BA57" t="s">
        <v>185</v>
      </c>
      <c r="BG57" t="s">
        <v>170</v>
      </c>
      <c r="BH57" t="s">
        <v>421</v>
      </c>
      <c r="BK57">
        <v>0</v>
      </c>
      <c r="BN57" t="s">
        <v>636</v>
      </c>
      <c r="BO57">
        <v>24</v>
      </c>
      <c r="BP57">
        <v>1</v>
      </c>
    </row>
    <row r="58" spans="1:68" x14ac:dyDescent="0.25">
      <c r="A58" t="s">
        <v>265</v>
      </c>
      <c r="B58" s="1">
        <v>46181</v>
      </c>
      <c r="E58" t="s">
        <v>170</v>
      </c>
      <c r="F58">
        <v>0</v>
      </c>
      <c r="G58" t="s">
        <v>170</v>
      </c>
      <c r="H58">
        <v>7.67</v>
      </c>
      <c r="J58" t="s">
        <v>170</v>
      </c>
      <c r="L58" t="s">
        <v>171</v>
      </c>
      <c r="M58" t="s">
        <v>188</v>
      </c>
      <c r="P58">
        <v>0</v>
      </c>
      <c r="Q58" t="s">
        <v>173</v>
      </c>
      <c r="R58" t="s">
        <v>174</v>
      </c>
      <c r="S58" t="s">
        <v>175</v>
      </c>
      <c r="T58" t="s">
        <v>176</v>
      </c>
      <c r="U58" t="s">
        <v>177</v>
      </c>
      <c r="V58" t="s">
        <v>178</v>
      </c>
      <c r="Z58" t="s">
        <v>170</v>
      </c>
      <c r="AA58">
        <v>0</v>
      </c>
      <c r="AB58" t="s">
        <v>179</v>
      </c>
      <c r="AC58" t="s">
        <v>170</v>
      </c>
      <c r="AD58" t="s">
        <v>170</v>
      </c>
      <c r="AE58" t="s">
        <v>179</v>
      </c>
      <c r="AF58" t="s">
        <v>180</v>
      </c>
      <c r="AG58" t="s">
        <v>181</v>
      </c>
      <c r="AH58" t="s">
        <v>73</v>
      </c>
      <c r="AI58" t="s">
        <v>182</v>
      </c>
      <c r="AJ58">
        <v>1</v>
      </c>
      <c r="AL58" t="s">
        <v>170</v>
      </c>
      <c r="AM58" t="s">
        <v>170</v>
      </c>
      <c r="AN58" t="s">
        <v>170</v>
      </c>
      <c r="AO58" t="s">
        <v>183</v>
      </c>
      <c r="AP58">
        <v>1</v>
      </c>
      <c r="AQ58" t="s">
        <v>170</v>
      </c>
      <c r="AR58" t="s">
        <v>194</v>
      </c>
      <c r="AS58" t="s">
        <v>185</v>
      </c>
      <c r="AU58">
        <v>45821</v>
      </c>
      <c r="AX58" t="s">
        <v>170</v>
      </c>
      <c r="AY58">
        <v>14933928</v>
      </c>
      <c r="AZ58" t="s">
        <v>186</v>
      </c>
      <c r="BA58" t="s">
        <v>185</v>
      </c>
      <c r="BG58" t="s">
        <v>170</v>
      </c>
      <c r="BH58" t="s">
        <v>265</v>
      </c>
      <c r="BK58">
        <v>0</v>
      </c>
      <c r="BN58" t="s">
        <v>637</v>
      </c>
      <c r="BO58">
        <v>24</v>
      </c>
      <c r="BP58">
        <v>1</v>
      </c>
    </row>
    <row r="59" spans="1:68" x14ac:dyDescent="0.25">
      <c r="A59" t="s">
        <v>423</v>
      </c>
      <c r="B59" s="1">
        <v>46181</v>
      </c>
      <c r="E59" t="s">
        <v>170</v>
      </c>
      <c r="F59">
        <v>0</v>
      </c>
      <c r="G59" t="s">
        <v>170</v>
      </c>
      <c r="H59">
        <v>7.67</v>
      </c>
      <c r="J59" t="s">
        <v>170</v>
      </c>
      <c r="L59" t="s">
        <v>171</v>
      </c>
      <c r="M59" t="s">
        <v>172</v>
      </c>
      <c r="P59">
        <v>0</v>
      </c>
      <c r="Q59" t="s">
        <v>173</v>
      </c>
      <c r="R59" t="s">
        <v>174</v>
      </c>
      <c r="S59" t="s">
        <v>175</v>
      </c>
      <c r="T59" t="s">
        <v>176</v>
      </c>
      <c r="U59" t="s">
        <v>177</v>
      </c>
      <c r="V59" t="s">
        <v>178</v>
      </c>
      <c r="Z59" t="s">
        <v>170</v>
      </c>
      <c r="AA59">
        <v>0</v>
      </c>
      <c r="AB59" t="s">
        <v>179</v>
      </c>
      <c r="AC59" t="s">
        <v>170</v>
      </c>
      <c r="AD59" t="s">
        <v>170</v>
      </c>
      <c r="AE59" t="s">
        <v>179</v>
      </c>
      <c r="AF59" t="s">
        <v>180</v>
      </c>
      <c r="AG59" t="s">
        <v>181</v>
      </c>
      <c r="AH59" t="s">
        <v>73</v>
      </c>
      <c r="AI59" t="s">
        <v>182</v>
      </c>
      <c r="AJ59">
        <v>1</v>
      </c>
      <c r="AL59" t="s">
        <v>170</v>
      </c>
      <c r="AM59" t="s">
        <v>170</v>
      </c>
      <c r="AN59" t="s">
        <v>170</v>
      </c>
      <c r="AO59" t="s">
        <v>183</v>
      </c>
      <c r="AP59">
        <v>1</v>
      </c>
      <c r="AQ59" t="s">
        <v>170</v>
      </c>
      <c r="AR59" t="s">
        <v>184</v>
      </c>
      <c r="AS59" t="s">
        <v>185</v>
      </c>
      <c r="AU59">
        <v>45890</v>
      </c>
      <c r="AX59" t="s">
        <v>170</v>
      </c>
      <c r="AY59">
        <v>13845940</v>
      </c>
      <c r="AZ59" t="s">
        <v>186</v>
      </c>
      <c r="BA59" t="s">
        <v>185</v>
      </c>
      <c r="BG59" t="s">
        <v>170</v>
      </c>
      <c r="BH59" t="s">
        <v>423</v>
      </c>
      <c r="BK59">
        <v>0</v>
      </c>
      <c r="BN59" t="s">
        <v>638</v>
      </c>
      <c r="BO59">
        <v>24</v>
      </c>
      <c r="BP59">
        <v>1</v>
      </c>
    </row>
    <row r="60" spans="1:68" x14ac:dyDescent="0.25">
      <c r="A60" t="s">
        <v>424</v>
      </c>
      <c r="B60" s="1">
        <v>46181</v>
      </c>
      <c r="E60" t="s">
        <v>170</v>
      </c>
      <c r="F60">
        <v>0</v>
      </c>
      <c r="G60" t="s">
        <v>170</v>
      </c>
      <c r="H60">
        <v>7.67</v>
      </c>
      <c r="J60" t="s">
        <v>170</v>
      </c>
      <c r="L60" t="s">
        <v>171</v>
      </c>
      <c r="M60" t="s">
        <v>172</v>
      </c>
      <c r="P60">
        <v>0</v>
      </c>
      <c r="Q60" t="s">
        <v>173</v>
      </c>
      <c r="R60" t="s">
        <v>174</v>
      </c>
      <c r="S60" t="s">
        <v>175</v>
      </c>
      <c r="T60" t="s">
        <v>348</v>
      </c>
      <c r="U60" t="s">
        <v>349</v>
      </c>
      <c r="V60" t="s">
        <v>178</v>
      </c>
      <c r="Z60" t="s">
        <v>170</v>
      </c>
      <c r="AA60">
        <v>0</v>
      </c>
      <c r="AB60" t="s">
        <v>179</v>
      </c>
      <c r="AC60" t="s">
        <v>170</v>
      </c>
      <c r="AD60" t="s">
        <v>170</v>
      </c>
      <c r="AE60" t="s">
        <v>179</v>
      </c>
      <c r="AF60" t="s">
        <v>180</v>
      </c>
      <c r="AG60" t="s">
        <v>181</v>
      </c>
      <c r="AH60" t="s">
        <v>73</v>
      </c>
      <c r="AI60" t="s">
        <v>182</v>
      </c>
      <c r="AJ60">
        <v>1</v>
      </c>
      <c r="AL60" t="s">
        <v>170</v>
      </c>
      <c r="AM60" t="s">
        <v>170</v>
      </c>
      <c r="AN60" t="s">
        <v>170</v>
      </c>
      <c r="AO60" t="s">
        <v>183</v>
      </c>
      <c r="AP60">
        <v>1</v>
      </c>
      <c r="AQ60" t="s">
        <v>170</v>
      </c>
      <c r="AR60" t="s">
        <v>184</v>
      </c>
      <c r="AS60" t="s">
        <v>185</v>
      </c>
      <c r="AU60">
        <v>45916</v>
      </c>
      <c r="AX60" t="s">
        <v>170</v>
      </c>
      <c r="AY60">
        <v>15094937</v>
      </c>
      <c r="AZ60" t="s">
        <v>186</v>
      </c>
      <c r="BA60" t="s">
        <v>185</v>
      </c>
      <c r="BG60" t="s">
        <v>170</v>
      </c>
      <c r="BH60" t="s">
        <v>424</v>
      </c>
      <c r="BK60">
        <v>0</v>
      </c>
      <c r="BN60" t="s">
        <v>639</v>
      </c>
      <c r="BO60">
        <v>24</v>
      </c>
      <c r="BP60">
        <v>1</v>
      </c>
    </row>
    <row r="61" spans="1:68" x14ac:dyDescent="0.25">
      <c r="A61" t="s">
        <v>425</v>
      </c>
      <c r="B61" s="1">
        <v>46181</v>
      </c>
      <c r="E61" t="s">
        <v>170</v>
      </c>
      <c r="F61">
        <v>0</v>
      </c>
      <c r="G61" t="s">
        <v>170</v>
      </c>
      <c r="H61">
        <v>8</v>
      </c>
      <c r="J61" t="s">
        <v>170</v>
      </c>
      <c r="L61" t="s">
        <v>347</v>
      </c>
      <c r="M61" t="s">
        <v>172</v>
      </c>
      <c r="P61">
        <v>0</v>
      </c>
      <c r="Q61" t="s">
        <v>173</v>
      </c>
      <c r="R61" t="s">
        <v>174</v>
      </c>
      <c r="S61" t="s">
        <v>175</v>
      </c>
      <c r="T61" t="s">
        <v>176</v>
      </c>
      <c r="U61" t="s">
        <v>177</v>
      </c>
      <c r="V61" t="s">
        <v>178</v>
      </c>
      <c r="Z61" t="s">
        <v>170</v>
      </c>
      <c r="AA61">
        <v>0</v>
      </c>
      <c r="AB61" t="s">
        <v>179</v>
      </c>
      <c r="AC61" t="s">
        <v>170</v>
      </c>
      <c r="AD61" t="s">
        <v>170</v>
      </c>
      <c r="AE61" t="s">
        <v>179</v>
      </c>
      <c r="AF61" t="s">
        <v>180</v>
      </c>
      <c r="AG61" t="s">
        <v>181</v>
      </c>
      <c r="AH61" t="s">
        <v>72</v>
      </c>
      <c r="AI61" t="s">
        <v>182</v>
      </c>
      <c r="AJ61">
        <v>1</v>
      </c>
      <c r="AL61" t="s">
        <v>170</v>
      </c>
      <c r="AM61" t="s">
        <v>170</v>
      </c>
      <c r="AN61" t="s">
        <v>170</v>
      </c>
      <c r="AO61" t="s">
        <v>183</v>
      </c>
      <c r="AP61">
        <v>1</v>
      </c>
      <c r="AQ61" t="s">
        <v>170</v>
      </c>
      <c r="AR61" t="s">
        <v>184</v>
      </c>
      <c r="AS61" t="s">
        <v>185</v>
      </c>
      <c r="AU61">
        <v>45883</v>
      </c>
      <c r="AX61" t="s">
        <v>170</v>
      </c>
      <c r="AY61">
        <v>14058879</v>
      </c>
      <c r="AZ61" t="s">
        <v>186</v>
      </c>
      <c r="BA61" t="s">
        <v>185</v>
      </c>
      <c r="BG61" t="s">
        <v>170</v>
      </c>
      <c r="BH61" t="s">
        <v>425</v>
      </c>
      <c r="BK61">
        <v>0</v>
      </c>
      <c r="BN61" t="s">
        <v>640</v>
      </c>
      <c r="BO61">
        <v>24</v>
      </c>
      <c r="BP61">
        <v>1</v>
      </c>
    </row>
    <row r="62" spans="1:68" x14ac:dyDescent="0.25">
      <c r="A62" t="s">
        <v>426</v>
      </c>
      <c r="B62" s="1">
        <v>46181</v>
      </c>
      <c r="E62" t="s">
        <v>170</v>
      </c>
      <c r="F62">
        <v>0</v>
      </c>
      <c r="G62" t="s">
        <v>170</v>
      </c>
      <c r="H62">
        <v>7.67</v>
      </c>
      <c r="J62" t="s">
        <v>170</v>
      </c>
      <c r="L62" t="s">
        <v>171</v>
      </c>
      <c r="M62" t="s">
        <v>172</v>
      </c>
      <c r="P62">
        <v>0</v>
      </c>
      <c r="Q62" t="s">
        <v>173</v>
      </c>
      <c r="R62" t="s">
        <v>174</v>
      </c>
      <c r="S62" t="s">
        <v>175</v>
      </c>
      <c r="T62" t="s">
        <v>176</v>
      </c>
      <c r="U62" t="s">
        <v>177</v>
      </c>
      <c r="V62" t="s">
        <v>178</v>
      </c>
      <c r="Z62" t="s">
        <v>170</v>
      </c>
      <c r="AA62">
        <v>0</v>
      </c>
      <c r="AB62" t="s">
        <v>179</v>
      </c>
      <c r="AC62" t="s">
        <v>170</v>
      </c>
      <c r="AD62" t="s">
        <v>170</v>
      </c>
      <c r="AE62" t="s">
        <v>179</v>
      </c>
      <c r="AF62" t="s">
        <v>180</v>
      </c>
      <c r="AG62" t="s">
        <v>181</v>
      </c>
      <c r="AH62" t="s">
        <v>73</v>
      </c>
      <c r="AI62" t="s">
        <v>182</v>
      </c>
      <c r="AJ62">
        <v>1</v>
      </c>
      <c r="AL62" t="s">
        <v>170</v>
      </c>
      <c r="AM62" t="s">
        <v>170</v>
      </c>
      <c r="AN62" t="s">
        <v>170</v>
      </c>
      <c r="AO62" t="s">
        <v>183</v>
      </c>
      <c r="AP62">
        <v>1</v>
      </c>
      <c r="AQ62" t="s">
        <v>170</v>
      </c>
      <c r="AR62" t="s">
        <v>184</v>
      </c>
      <c r="AS62" t="s">
        <v>185</v>
      </c>
      <c r="AU62">
        <v>45883</v>
      </c>
      <c r="AX62" t="s">
        <v>170</v>
      </c>
      <c r="AY62">
        <v>13497732</v>
      </c>
      <c r="AZ62" t="s">
        <v>186</v>
      </c>
      <c r="BA62" t="s">
        <v>185</v>
      </c>
      <c r="BG62" t="s">
        <v>170</v>
      </c>
      <c r="BH62" t="s">
        <v>426</v>
      </c>
      <c r="BK62">
        <v>0</v>
      </c>
      <c r="BN62" t="s">
        <v>641</v>
      </c>
      <c r="BO62">
        <v>24</v>
      </c>
      <c r="BP62">
        <v>1</v>
      </c>
    </row>
    <row r="63" spans="1:68" x14ac:dyDescent="0.25">
      <c r="A63" t="s">
        <v>427</v>
      </c>
      <c r="B63" s="1">
        <v>46181</v>
      </c>
      <c r="E63" t="s">
        <v>170</v>
      </c>
      <c r="F63">
        <v>0</v>
      </c>
      <c r="G63" t="s">
        <v>170</v>
      </c>
      <c r="H63">
        <v>8</v>
      </c>
      <c r="J63" t="s">
        <v>170</v>
      </c>
      <c r="L63" t="s">
        <v>347</v>
      </c>
      <c r="M63" t="s">
        <v>172</v>
      </c>
      <c r="P63">
        <v>0</v>
      </c>
      <c r="Q63" t="s">
        <v>173</v>
      </c>
      <c r="R63" t="s">
        <v>174</v>
      </c>
      <c r="S63" t="s">
        <v>175</v>
      </c>
      <c r="T63" t="s">
        <v>176</v>
      </c>
      <c r="U63" t="s">
        <v>177</v>
      </c>
      <c r="V63" t="s">
        <v>178</v>
      </c>
      <c r="Z63" t="s">
        <v>170</v>
      </c>
      <c r="AA63">
        <v>0</v>
      </c>
      <c r="AB63" t="s">
        <v>179</v>
      </c>
      <c r="AC63" t="s">
        <v>170</v>
      </c>
      <c r="AD63" t="s">
        <v>170</v>
      </c>
      <c r="AE63" t="s">
        <v>179</v>
      </c>
      <c r="AF63" t="s">
        <v>180</v>
      </c>
      <c r="AG63" t="s">
        <v>181</v>
      </c>
      <c r="AH63" t="s">
        <v>72</v>
      </c>
      <c r="AI63" t="s">
        <v>182</v>
      </c>
      <c r="AJ63">
        <v>1</v>
      </c>
      <c r="AL63" t="s">
        <v>170</v>
      </c>
      <c r="AM63" t="s">
        <v>170</v>
      </c>
      <c r="AN63" t="s">
        <v>170</v>
      </c>
      <c r="AO63" t="s">
        <v>183</v>
      </c>
      <c r="AP63">
        <v>1</v>
      </c>
      <c r="AQ63" t="s">
        <v>170</v>
      </c>
      <c r="AR63" t="s">
        <v>184</v>
      </c>
      <c r="AS63" t="s">
        <v>185</v>
      </c>
      <c r="AU63">
        <v>45883</v>
      </c>
      <c r="AX63" t="s">
        <v>170</v>
      </c>
      <c r="AY63">
        <v>15031140</v>
      </c>
      <c r="AZ63" t="s">
        <v>186</v>
      </c>
      <c r="BA63" t="s">
        <v>185</v>
      </c>
      <c r="BG63" t="s">
        <v>170</v>
      </c>
      <c r="BH63" t="s">
        <v>427</v>
      </c>
      <c r="BK63">
        <v>0</v>
      </c>
      <c r="BN63" t="s">
        <v>642</v>
      </c>
      <c r="BO63">
        <v>24</v>
      </c>
      <c r="BP63">
        <v>1</v>
      </c>
    </row>
    <row r="64" spans="1:68" x14ac:dyDescent="0.25">
      <c r="A64" t="s">
        <v>269</v>
      </c>
      <c r="B64" s="1">
        <v>46181</v>
      </c>
      <c r="E64" t="s">
        <v>170</v>
      </c>
      <c r="F64">
        <v>0</v>
      </c>
      <c r="G64" t="s">
        <v>170</v>
      </c>
      <c r="H64">
        <v>8</v>
      </c>
      <c r="J64" t="s">
        <v>170</v>
      </c>
      <c r="L64" t="s">
        <v>187</v>
      </c>
      <c r="M64" t="s">
        <v>172</v>
      </c>
      <c r="P64">
        <v>0</v>
      </c>
      <c r="Q64" t="s">
        <v>197</v>
      </c>
      <c r="R64" t="s">
        <v>174</v>
      </c>
      <c r="S64" t="s">
        <v>190</v>
      </c>
      <c r="T64" t="s">
        <v>191</v>
      </c>
      <c r="U64" t="s">
        <v>215</v>
      </c>
      <c r="V64" t="s">
        <v>216</v>
      </c>
      <c r="Z64" t="s">
        <v>170</v>
      </c>
      <c r="AA64">
        <v>0</v>
      </c>
      <c r="AB64" t="s">
        <v>179</v>
      </c>
      <c r="AC64" t="s">
        <v>170</v>
      </c>
      <c r="AD64" t="s">
        <v>170</v>
      </c>
      <c r="AE64" t="s">
        <v>179</v>
      </c>
      <c r="AF64" t="s">
        <v>180</v>
      </c>
      <c r="AG64" t="s">
        <v>181</v>
      </c>
      <c r="AH64" t="s">
        <v>72</v>
      </c>
      <c r="AI64" t="s">
        <v>216</v>
      </c>
      <c r="AJ64">
        <v>1</v>
      </c>
      <c r="AL64" t="s">
        <v>170</v>
      </c>
      <c r="AM64" t="s">
        <v>170</v>
      </c>
      <c r="AN64" t="s">
        <v>170</v>
      </c>
      <c r="AO64" t="s">
        <v>183</v>
      </c>
      <c r="AP64">
        <v>1</v>
      </c>
      <c r="AQ64" t="s">
        <v>170</v>
      </c>
      <c r="AR64" t="s">
        <v>184</v>
      </c>
      <c r="AS64" t="s">
        <v>185</v>
      </c>
      <c r="AU64">
        <v>43132</v>
      </c>
      <c r="AX64" t="s">
        <v>170</v>
      </c>
      <c r="AY64">
        <v>788</v>
      </c>
      <c r="AZ64" t="s">
        <v>186</v>
      </c>
      <c r="BA64" t="s">
        <v>185</v>
      </c>
      <c r="BB64" t="s">
        <v>267</v>
      </c>
      <c r="BG64" t="s">
        <v>170</v>
      </c>
      <c r="BH64" t="s">
        <v>270</v>
      </c>
      <c r="BI64">
        <v>2</v>
      </c>
      <c r="BJ64" t="s">
        <v>211</v>
      </c>
      <c r="BK64">
        <v>0</v>
      </c>
      <c r="BN64" t="s">
        <v>643</v>
      </c>
      <c r="BO64">
        <v>24</v>
      </c>
      <c r="BP64">
        <v>1</v>
      </c>
    </row>
    <row r="65" spans="1:68" x14ac:dyDescent="0.25">
      <c r="A65" t="s">
        <v>271</v>
      </c>
      <c r="B65" s="1">
        <v>46181</v>
      </c>
      <c r="E65" t="s">
        <v>170</v>
      </c>
      <c r="F65">
        <v>0</v>
      </c>
      <c r="G65" t="s">
        <v>170</v>
      </c>
      <c r="H65">
        <v>7.67</v>
      </c>
      <c r="J65" t="s">
        <v>170</v>
      </c>
      <c r="L65" t="s">
        <v>208</v>
      </c>
      <c r="M65" t="s">
        <v>172</v>
      </c>
      <c r="P65">
        <v>0</v>
      </c>
      <c r="Q65" t="s">
        <v>197</v>
      </c>
      <c r="R65" t="s">
        <v>174</v>
      </c>
      <c r="S65" t="s">
        <v>190</v>
      </c>
      <c r="T65" t="s">
        <v>225</v>
      </c>
      <c r="U65" t="s">
        <v>209</v>
      </c>
      <c r="V65" t="s">
        <v>210</v>
      </c>
      <c r="Z65" t="s">
        <v>170</v>
      </c>
      <c r="AA65">
        <v>0</v>
      </c>
      <c r="AB65" t="s">
        <v>179</v>
      </c>
      <c r="AC65" t="s">
        <v>170</v>
      </c>
      <c r="AD65" t="s">
        <v>170</v>
      </c>
      <c r="AE65" t="s">
        <v>179</v>
      </c>
      <c r="AF65" t="s">
        <v>180</v>
      </c>
      <c r="AG65" t="s">
        <v>181</v>
      </c>
      <c r="AH65" t="s">
        <v>73</v>
      </c>
      <c r="AI65" t="s">
        <v>210</v>
      </c>
      <c r="AJ65">
        <v>1</v>
      </c>
      <c r="AL65" t="s">
        <v>170</v>
      </c>
      <c r="AM65" t="s">
        <v>170</v>
      </c>
      <c r="AN65" t="s">
        <v>170</v>
      </c>
      <c r="AO65" t="s">
        <v>183</v>
      </c>
      <c r="AP65">
        <v>1</v>
      </c>
      <c r="AQ65" t="s">
        <v>170</v>
      </c>
      <c r="AR65" t="s">
        <v>184</v>
      </c>
      <c r="AS65" t="s">
        <v>185</v>
      </c>
      <c r="AU65">
        <v>45719</v>
      </c>
      <c r="AX65" t="s">
        <v>170</v>
      </c>
      <c r="AY65">
        <v>1194</v>
      </c>
      <c r="AZ65" t="s">
        <v>186</v>
      </c>
      <c r="BA65" t="s">
        <v>185</v>
      </c>
      <c r="BB65" t="s">
        <v>267</v>
      </c>
      <c r="BG65" t="s">
        <v>170</v>
      </c>
      <c r="BH65" t="s">
        <v>272</v>
      </c>
      <c r="BJ65" t="s">
        <v>195</v>
      </c>
      <c r="BK65">
        <v>0</v>
      </c>
      <c r="BN65" t="s">
        <v>644</v>
      </c>
      <c r="BO65">
        <v>24</v>
      </c>
      <c r="BP65">
        <v>1</v>
      </c>
    </row>
    <row r="66" spans="1:68" x14ac:dyDescent="0.25">
      <c r="A66" t="s">
        <v>273</v>
      </c>
      <c r="B66" s="1">
        <v>46181</v>
      </c>
      <c r="E66" t="s">
        <v>170</v>
      </c>
      <c r="F66">
        <v>0</v>
      </c>
      <c r="G66" t="s">
        <v>170</v>
      </c>
      <c r="H66">
        <v>8</v>
      </c>
      <c r="J66" t="s">
        <v>170</v>
      </c>
      <c r="L66" t="s">
        <v>187</v>
      </c>
      <c r="M66" t="s">
        <v>172</v>
      </c>
      <c r="P66">
        <v>0</v>
      </c>
      <c r="Q66" t="s">
        <v>197</v>
      </c>
      <c r="R66" t="s">
        <v>256</v>
      </c>
      <c r="S66" t="s">
        <v>190</v>
      </c>
      <c r="T66" t="s">
        <v>191</v>
      </c>
      <c r="U66" t="s">
        <v>209</v>
      </c>
      <c r="V66" t="s">
        <v>210</v>
      </c>
      <c r="Z66" t="s">
        <v>170</v>
      </c>
      <c r="AA66">
        <v>0</v>
      </c>
      <c r="AB66" t="s">
        <v>179</v>
      </c>
      <c r="AC66" t="s">
        <v>170</v>
      </c>
      <c r="AD66" t="s">
        <v>170</v>
      </c>
      <c r="AE66" t="s">
        <v>179</v>
      </c>
      <c r="AF66" t="s">
        <v>180</v>
      </c>
      <c r="AG66" t="s">
        <v>181</v>
      </c>
      <c r="AH66" t="s">
        <v>72</v>
      </c>
      <c r="AI66" t="s">
        <v>210</v>
      </c>
      <c r="AJ66">
        <v>1</v>
      </c>
      <c r="AL66" t="s">
        <v>170</v>
      </c>
      <c r="AM66" t="s">
        <v>170</v>
      </c>
      <c r="AN66" t="s">
        <v>170</v>
      </c>
      <c r="AO66" t="s">
        <v>256</v>
      </c>
      <c r="AP66">
        <v>1</v>
      </c>
      <c r="AQ66" t="s">
        <v>170</v>
      </c>
      <c r="AR66" t="s">
        <v>184</v>
      </c>
      <c r="AS66" t="s">
        <v>185</v>
      </c>
      <c r="AU66">
        <v>44743</v>
      </c>
      <c r="AX66" t="s">
        <v>170</v>
      </c>
      <c r="AY66">
        <v>1056</v>
      </c>
      <c r="AZ66" t="s">
        <v>186</v>
      </c>
      <c r="BA66" t="s">
        <v>185</v>
      </c>
      <c r="BG66" t="s">
        <v>170</v>
      </c>
      <c r="BH66" t="s">
        <v>273</v>
      </c>
      <c r="BK66">
        <v>0</v>
      </c>
      <c r="BN66" t="s">
        <v>645</v>
      </c>
      <c r="BO66">
        <v>24</v>
      </c>
      <c r="BP66">
        <v>1</v>
      </c>
    </row>
    <row r="67" spans="1:68" x14ac:dyDescent="0.25">
      <c r="A67" t="s">
        <v>646</v>
      </c>
      <c r="B67" s="1">
        <v>46181</v>
      </c>
      <c r="E67" t="s">
        <v>170</v>
      </c>
      <c r="F67">
        <v>0</v>
      </c>
      <c r="G67" t="s">
        <v>170</v>
      </c>
      <c r="H67">
        <v>7.67</v>
      </c>
      <c r="J67" t="s">
        <v>170</v>
      </c>
      <c r="L67" t="s">
        <v>208</v>
      </c>
      <c r="M67" t="s">
        <v>222</v>
      </c>
      <c r="P67">
        <v>0</v>
      </c>
      <c r="Q67" t="s">
        <v>173</v>
      </c>
      <c r="R67" t="s">
        <v>174</v>
      </c>
      <c r="S67" t="s">
        <v>260</v>
      </c>
      <c r="T67" t="s">
        <v>109</v>
      </c>
      <c r="U67" t="s">
        <v>177</v>
      </c>
      <c r="V67" t="s">
        <v>182</v>
      </c>
      <c r="Z67" t="s">
        <v>170</v>
      </c>
      <c r="AA67">
        <v>0</v>
      </c>
      <c r="AB67" t="s">
        <v>179</v>
      </c>
      <c r="AC67" t="s">
        <v>170</v>
      </c>
      <c r="AD67" t="s">
        <v>170</v>
      </c>
      <c r="AE67" t="s">
        <v>179</v>
      </c>
      <c r="AF67" t="s">
        <v>180</v>
      </c>
      <c r="AG67" t="s">
        <v>181</v>
      </c>
      <c r="AH67" t="s">
        <v>73</v>
      </c>
      <c r="AI67" t="s">
        <v>182</v>
      </c>
      <c r="AJ67">
        <v>1</v>
      </c>
      <c r="AL67" t="s">
        <v>170</v>
      </c>
      <c r="AM67" t="s">
        <v>170</v>
      </c>
      <c r="AN67" t="s">
        <v>170</v>
      </c>
      <c r="AO67" t="s">
        <v>183</v>
      </c>
      <c r="AP67">
        <v>1</v>
      </c>
      <c r="AQ67" t="s">
        <v>170</v>
      </c>
      <c r="AR67" t="s">
        <v>222</v>
      </c>
      <c r="AS67" t="s">
        <v>185</v>
      </c>
      <c r="AU67">
        <v>46139</v>
      </c>
      <c r="AX67" t="s">
        <v>170</v>
      </c>
      <c r="AZ67" t="s">
        <v>186</v>
      </c>
      <c r="BA67" t="s">
        <v>185</v>
      </c>
      <c r="BG67" t="s">
        <v>170</v>
      </c>
      <c r="BH67" t="s">
        <v>646</v>
      </c>
      <c r="BK67">
        <v>0</v>
      </c>
      <c r="BN67" t="s">
        <v>647</v>
      </c>
      <c r="BO67">
        <v>24</v>
      </c>
      <c r="BP67">
        <v>1</v>
      </c>
    </row>
    <row r="68" spans="1:68" x14ac:dyDescent="0.25">
      <c r="A68" t="s">
        <v>648</v>
      </c>
      <c r="B68" s="1">
        <v>46181</v>
      </c>
      <c r="E68" t="s">
        <v>170</v>
      </c>
      <c r="F68">
        <v>0</v>
      </c>
      <c r="G68" t="s">
        <v>170</v>
      </c>
      <c r="H68">
        <v>8</v>
      </c>
      <c r="J68" t="s">
        <v>170</v>
      </c>
      <c r="L68" t="s">
        <v>187</v>
      </c>
      <c r="M68" t="s">
        <v>222</v>
      </c>
      <c r="P68">
        <v>0</v>
      </c>
      <c r="Q68" t="s">
        <v>197</v>
      </c>
      <c r="R68" t="s">
        <v>174</v>
      </c>
      <c r="S68" t="s">
        <v>260</v>
      </c>
      <c r="T68" t="s">
        <v>109</v>
      </c>
      <c r="U68" t="s">
        <v>177</v>
      </c>
      <c r="V68" t="s">
        <v>182</v>
      </c>
      <c r="Z68" t="s">
        <v>170</v>
      </c>
      <c r="AA68">
        <v>0</v>
      </c>
      <c r="AB68" t="s">
        <v>179</v>
      </c>
      <c r="AC68" t="s">
        <v>170</v>
      </c>
      <c r="AD68" t="s">
        <v>170</v>
      </c>
      <c r="AE68" t="s">
        <v>179</v>
      </c>
      <c r="AF68" t="s">
        <v>180</v>
      </c>
      <c r="AG68" t="s">
        <v>181</v>
      </c>
      <c r="AH68" t="s">
        <v>72</v>
      </c>
      <c r="AI68" t="s">
        <v>182</v>
      </c>
      <c r="AJ68">
        <v>1</v>
      </c>
      <c r="AL68" t="s">
        <v>170</v>
      </c>
      <c r="AM68" t="s">
        <v>170</v>
      </c>
      <c r="AN68" t="s">
        <v>170</v>
      </c>
      <c r="AO68" t="s">
        <v>183</v>
      </c>
      <c r="AP68">
        <v>1</v>
      </c>
      <c r="AQ68" t="s">
        <v>170</v>
      </c>
      <c r="AR68" t="s">
        <v>222</v>
      </c>
      <c r="AS68" t="s">
        <v>185</v>
      </c>
      <c r="AU68">
        <v>46167</v>
      </c>
      <c r="AX68" t="s">
        <v>170</v>
      </c>
      <c r="AZ68" t="s">
        <v>186</v>
      </c>
      <c r="BA68" t="s">
        <v>185</v>
      </c>
      <c r="BG68" t="s">
        <v>170</v>
      </c>
      <c r="BH68" t="s">
        <v>648</v>
      </c>
      <c r="BK68">
        <v>0</v>
      </c>
      <c r="BN68" t="s">
        <v>649</v>
      </c>
      <c r="BO68">
        <v>24</v>
      </c>
      <c r="BP68">
        <v>1</v>
      </c>
    </row>
    <row r="69" spans="1:68" x14ac:dyDescent="0.25">
      <c r="A69" t="s">
        <v>274</v>
      </c>
      <c r="B69" s="1">
        <v>46181</v>
      </c>
      <c r="E69" t="s">
        <v>170</v>
      </c>
      <c r="F69">
        <v>0</v>
      </c>
      <c r="G69" t="s">
        <v>170</v>
      </c>
      <c r="H69">
        <v>7.67</v>
      </c>
      <c r="J69" t="s">
        <v>170</v>
      </c>
      <c r="L69" t="s">
        <v>208</v>
      </c>
      <c r="P69">
        <v>0</v>
      </c>
      <c r="Q69" t="s">
        <v>197</v>
      </c>
      <c r="R69" t="s">
        <v>174</v>
      </c>
      <c r="S69" t="s">
        <v>190</v>
      </c>
      <c r="T69" t="s">
        <v>191</v>
      </c>
      <c r="U69" t="s">
        <v>209</v>
      </c>
      <c r="V69" t="s">
        <v>210</v>
      </c>
      <c r="Z69" t="s">
        <v>170</v>
      </c>
      <c r="AA69">
        <v>0</v>
      </c>
      <c r="AB69" t="s">
        <v>179</v>
      </c>
      <c r="AC69" t="s">
        <v>170</v>
      </c>
      <c r="AD69" t="s">
        <v>170</v>
      </c>
      <c r="AF69" t="s">
        <v>180</v>
      </c>
      <c r="AG69" t="s">
        <v>181</v>
      </c>
      <c r="AH69" t="s">
        <v>73</v>
      </c>
      <c r="AI69" t="s">
        <v>210</v>
      </c>
      <c r="AJ69">
        <v>1</v>
      </c>
      <c r="AL69" t="s">
        <v>170</v>
      </c>
      <c r="AM69" t="s">
        <v>170</v>
      </c>
      <c r="AN69" t="s">
        <v>170</v>
      </c>
      <c r="AO69" t="s">
        <v>183</v>
      </c>
      <c r="AP69">
        <v>1</v>
      </c>
      <c r="AQ69" t="s">
        <v>170</v>
      </c>
      <c r="AR69" t="s">
        <v>184</v>
      </c>
      <c r="AS69" t="s">
        <v>185</v>
      </c>
      <c r="AU69">
        <v>44682</v>
      </c>
      <c r="AX69" t="s">
        <v>170</v>
      </c>
      <c r="AY69">
        <v>1028</v>
      </c>
      <c r="BA69" t="s">
        <v>185</v>
      </c>
      <c r="BG69" t="s">
        <v>170</v>
      </c>
      <c r="BH69" t="s">
        <v>274</v>
      </c>
      <c r="BJ69" t="s">
        <v>195</v>
      </c>
      <c r="BK69">
        <v>0</v>
      </c>
      <c r="BN69" t="s">
        <v>650</v>
      </c>
      <c r="BO69">
        <v>24</v>
      </c>
      <c r="BP69">
        <v>1</v>
      </c>
    </row>
    <row r="70" spans="1:68" x14ac:dyDescent="0.25">
      <c r="A70" t="s">
        <v>430</v>
      </c>
      <c r="B70" s="1">
        <v>46181</v>
      </c>
      <c r="E70" t="s">
        <v>170</v>
      </c>
      <c r="F70">
        <v>0</v>
      </c>
      <c r="G70" t="s">
        <v>170</v>
      </c>
      <c r="H70">
        <v>8</v>
      </c>
      <c r="J70" t="s">
        <v>170</v>
      </c>
      <c r="L70" t="s">
        <v>187</v>
      </c>
      <c r="P70">
        <v>0</v>
      </c>
      <c r="Q70" t="s">
        <v>197</v>
      </c>
      <c r="R70" t="s">
        <v>174</v>
      </c>
      <c r="S70" t="s">
        <v>190</v>
      </c>
      <c r="T70" t="s">
        <v>191</v>
      </c>
      <c r="U70" t="s">
        <v>209</v>
      </c>
      <c r="V70" t="s">
        <v>210</v>
      </c>
      <c r="Z70" t="s">
        <v>170</v>
      </c>
      <c r="AA70">
        <v>0</v>
      </c>
      <c r="AB70" t="s">
        <v>179</v>
      </c>
      <c r="AC70" t="s">
        <v>170</v>
      </c>
      <c r="AD70" t="s">
        <v>170</v>
      </c>
      <c r="AF70" t="s">
        <v>180</v>
      </c>
      <c r="AG70" t="s">
        <v>181</v>
      </c>
      <c r="AH70" t="s">
        <v>72</v>
      </c>
      <c r="AI70" t="s">
        <v>210</v>
      </c>
      <c r="AJ70">
        <v>1</v>
      </c>
      <c r="AL70" t="s">
        <v>170</v>
      </c>
      <c r="AM70" t="s">
        <v>170</v>
      </c>
      <c r="AN70" t="s">
        <v>170</v>
      </c>
      <c r="AO70" t="s">
        <v>183</v>
      </c>
      <c r="AP70">
        <v>1</v>
      </c>
      <c r="AQ70" t="s">
        <v>170</v>
      </c>
      <c r="AR70" t="s">
        <v>184</v>
      </c>
      <c r="AS70" t="s">
        <v>185</v>
      </c>
      <c r="AU70">
        <v>40910</v>
      </c>
      <c r="AX70" t="s">
        <v>170</v>
      </c>
      <c r="AY70">
        <v>504</v>
      </c>
      <c r="BA70" t="s">
        <v>185</v>
      </c>
      <c r="BG70" t="s">
        <v>170</v>
      </c>
      <c r="BH70" t="s">
        <v>430</v>
      </c>
      <c r="BI70">
        <v>1</v>
      </c>
      <c r="BJ70" t="s">
        <v>211</v>
      </c>
      <c r="BK70">
        <v>0</v>
      </c>
      <c r="BN70" t="s">
        <v>651</v>
      </c>
      <c r="BO70">
        <v>24</v>
      </c>
      <c r="BP70">
        <v>1</v>
      </c>
    </row>
    <row r="71" spans="1:68" x14ac:dyDescent="0.25">
      <c r="A71" t="s">
        <v>652</v>
      </c>
      <c r="B71" s="1">
        <v>46181</v>
      </c>
      <c r="E71" t="s">
        <v>170</v>
      </c>
      <c r="F71">
        <v>0</v>
      </c>
      <c r="G71" t="s">
        <v>170</v>
      </c>
      <c r="H71">
        <v>8</v>
      </c>
      <c r="J71" t="s">
        <v>170</v>
      </c>
      <c r="L71" t="s">
        <v>187</v>
      </c>
      <c r="P71">
        <v>0</v>
      </c>
      <c r="Q71" t="s">
        <v>197</v>
      </c>
      <c r="R71" t="s">
        <v>174</v>
      </c>
      <c r="S71" t="s">
        <v>190</v>
      </c>
      <c r="T71" t="s">
        <v>191</v>
      </c>
      <c r="U71" t="s">
        <v>209</v>
      </c>
      <c r="V71" t="s">
        <v>210</v>
      </c>
      <c r="Z71" t="s">
        <v>170</v>
      </c>
      <c r="AA71">
        <v>0</v>
      </c>
      <c r="AB71" t="s">
        <v>179</v>
      </c>
      <c r="AC71" t="s">
        <v>170</v>
      </c>
      <c r="AD71" t="s">
        <v>170</v>
      </c>
      <c r="AF71" t="s">
        <v>180</v>
      </c>
      <c r="AG71" t="s">
        <v>181</v>
      </c>
      <c r="AH71" t="s">
        <v>72</v>
      </c>
      <c r="AI71" t="s">
        <v>210</v>
      </c>
      <c r="AJ71">
        <v>1</v>
      </c>
      <c r="AL71" t="s">
        <v>170</v>
      </c>
      <c r="AM71" t="s">
        <v>170</v>
      </c>
      <c r="AN71" t="s">
        <v>170</v>
      </c>
      <c r="AO71" t="s">
        <v>183</v>
      </c>
      <c r="AP71">
        <v>1</v>
      </c>
      <c r="AQ71" t="s">
        <v>170</v>
      </c>
      <c r="AR71" t="s">
        <v>184</v>
      </c>
      <c r="AS71" t="s">
        <v>185</v>
      </c>
      <c r="AU71">
        <v>43344</v>
      </c>
      <c r="AX71" t="s">
        <v>170</v>
      </c>
      <c r="AY71">
        <v>832</v>
      </c>
      <c r="BA71" t="s">
        <v>185</v>
      </c>
      <c r="BG71" t="s">
        <v>170</v>
      </c>
      <c r="BH71" t="s">
        <v>652</v>
      </c>
      <c r="BJ71" t="s">
        <v>211</v>
      </c>
      <c r="BK71">
        <v>0</v>
      </c>
      <c r="BN71" t="s">
        <v>653</v>
      </c>
      <c r="BO71">
        <v>24</v>
      </c>
      <c r="BP71">
        <v>1</v>
      </c>
    </row>
    <row r="72" spans="1:68" x14ac:dyDescent="0.25">
      <c r="A72" t="s">
        <v>275</v>
      </c>
      <c r="B72" s="1">
        <v>46181</v>
      </c>
      <c r="E72" t="s">
        <v>170</v>
      </c>
      <c r="F72">
        <v>0</v>
      </c>
      <c r="G72" t="s">
        <v>170</v>
      </c>
      <c r="H72">
        <v>7.67</v>
      </c>
      <c r="J72" t="s">
        <v>170</v>
      </c>
      <c r="L72" t="s">
        <v>208</v>
      </c>
      <c r="P72">
        <v>0</v>
      </c>
      <c r="Q72" t="s">
        <v>197</v>
      </c>
      <c r="R72" t="s">
        <v>174</v>
      </c>
      <c r="S72" t="s">
        <v>190</v>
      </c>
      <c r="T72" t="s">
        <v>191</v>
      </c>
      <c r="U72" t="s">
        <v>215</v>
      </c>
      <c r="V72" t="s">
        <v>216</v>
      </c>
      <c r="Z72" t="s">
        <v>170</v>
      </c>
      <c r="AA72">
        <v>0</v>
      </c>
      <c r="AB72" t="s">
        <v>179</v>
      </c>
      <c r="AC72" t="s">
        <v>170</v>
      </c>
      <c r="AD72" t="s">
        <v>170</v>
      </c>
      <c r="AF72" t="s">
        <v>180</v>
      </c>
      <c r="AG72" t="s">
        <v>181</v>
      </c>
      <c r="AH72" t="s">
        <v>73</v>
      </c>
      <c r="AI72" t="s">
        <v>216</v>
      </c>
      <c r="AJ72">
        <v>1</v>
      </c>
      <c r="AL72" t="s">
        <v>170</v>
      </c>
      <c r="AM72" t="s">
        <v>170</v>
      </c>
      <c r="AN72" t="s">
        <v>170</v>
      </c>
      <c r="AO72" t="s">
        <v>183</v>
      </c>
      <c r="AP72">
        <v>1</v>
      </c>
      <c r="AQ72" t="s">
        <v>170</v>
      </c>
      <c r="AR72" t="s">
        <v>194</v>
      </c>
      <c r="AS72" t="s">
        <v>185</v>
      </c>
      <c r="AU72">
        <v>44378</v>
      </c>
      <c r="AX72" t="s">
        <v>170</v>
      </c>
      <c r="AY72">
        <v>940</v>
      </c>
      <c r="BA72" t="s">
        <v>185</v>
      </c>
      <c r="BG72" t="s">
        <v>170</v>
      </c>
      <c r="BH72" t="s">
        <v>275</v>
      </c>
      <c r="BJ72" t="s">
        <v>195</v>
      </c>
      <c r="BK72">
        <v>0</v>
      </c>
      <c r="BN72" t="s">
        <v>654</v>
      </c>
      <c r="BO72">
        <v>24</v>
      </c>
      <c r="BP72">
        <v>1</v>
      </c>
    </row>
    <row r="73" spans="1:68" x14ac:dyDescent="0.25">
      <c r="A73" t="s">
        <v>431</v>
      </c>
      <c r="B73" s="1">
        <v>46181</v>
      </c>
      <c r="E73" t="s">
        <v>170</v>
      </c>
      <c r="F73">
        <v>0</v>
      </c>
      <c r="G73" t="s">
        <v>170</v>
      </c>
      <c r="H73">
        <v>7.6</v>
      </c>
      <c r="J73" t="s">
        <v>170</v>
      </c>
      <c r="L73" t="s">
        <v>219</v>
      </c>
      <c r="P73">
        <v>0</v>
      </c>
      <c r="Q73" t="s">
        <v>197</v>
      </c>
      <c r="R73" t="s">
        <v>174</v>
      </c>
      <c r="S73" t="s">
        <v>190</v>
      </c>
      <c r="T73" t="s">
        <v>191</v>
      </c>
      <c r="U73" t="s">
        <v>209</v>
      </c>
      <c r="V73" t="s">
        <v>210</v>
      </c>
      <c r="Z73" t="s">
        <v>170</v>
      </c>
      <c r="AA73">
        <v>0</v>
      </c>
      <c r="AB73" t="s">
        <v>179</v>
      </c>
      <c r="AC73" t="s">
        <v>170</v>
      </c>
      <c r="AD73" t="s">
        <v>170</v>
      </c>
      <c r="AF73" t="s">
        <v>180</v>
      </c>
      <c r="AG73" t="s">
        <v>181</v>
      </c>
      <c r="AH73" t="s">
        <v>220</v>
      </c>
      <c r="AI73" t="s">
        <v>210</v>
      </c>
      <c r="AJ73">
        <v>1</v>
      </c>
      <c r="AL73" t="s">
        <v>170</v>
      </c>
      <c r="AM73" t="s">
        <v>170</v>
      </c>
      <c r="AN73" t="s">
        <v>170</v>
      </c>
      <c r="AO73" t="s">
        <v>183</v>
      </c>
      <c r="AP73">
        <v>1</v>
      </c>
      <c r="AQ73" t="s">
        <v>170</v>
      </c>
      <c r="AR73" t="s">
        <v>184</v>
      </c>
      <c r="AS73" t="s">
        <v>185</v>
      </c>
      <c r="AU73">
        <v>45536</v>
      </c>
      <c r="AX73" t="s">
        <v>170</v>
      </c>
      <c r="AY73">
        <v>1181</v>
      </c>
      <c r="BA73" t="s">
        <v>185</v>
      </c>
      <c r="BG73" t="s">
        <v>170</v>
      </c>
      <c r="BH73" t="s">
        <v>431</v>
      </c>
      <c r="BJ73" t="s">
        <v>195</v>
      </c>
      <c r="BK73">
        <v>0</v>
      </c>
      <c r="BN73" t="s">
        <v>655</v>
      </c>
      <c r="BO73">
        <v>24</v>
      </c>
      <c r="BP73">
        <v>1</v>
      </c>
    </row>
    <row r="74" spans="1:68" x14ac:dyDescent="0.25">
      <c r="A74" t="s">
        <v>277</v>
      </c>
      <c r="B74" s="1">
        <v>46181</v>
      </c>
      <c r="E74" t="s">
        <v>170</v>
      </c>
      <c r="F74">
        <v>0</v>
      </c>
      <c r="G74" t="s">
        <v>170</v>
      </c>
      <c r="H74">
        <v>8</v>
      </c>
      <c r="J74" t="s">
        <v>170</v>
      </c>
      <c r="L74" t="s">
        <v>187</v>
      </c>
      <c r="P74">
        <v>0</v>
      </c>
      <c r="Q74" t="s">
        <v>197</v>
      </c>
      <c r="R74" t="s">
        <v>174</v>
      </c>
      <c r="S74" t="s">
        <v>190</v>
      </c>
      <c r="T74" t="s">
        <v>225</v>
      </c>
      <c r="U74" t="s">
        <v>215</v>
      </c>
      <c r="V74" t="s">
        <v>216</v>
      </c>
      <c r="Z74" t="s">
        <v>170</v>
      </c>
      <c r="AA74">
        <v>0</v>
      </c>
      <c r="AB74" t="s">
        <v>179</v>
      </c>
      <c r="AC74" t="s">
        <v>170</v>
      </c>
      <c r="AD74" t="s">
        <v>170</v>
      </c>
      <c r="AF74" t="s">
        <v>180</v>
      </c>
      <c r="AG74" t="s">
        <v>181</v>
      </c>
      <c r="AH74" t="s">
        <v>72</v>
      </c>
      <c r="AI74" t="s">
        <v>216</v>
      </c>
      <c r="AJ74">
        <v>1</v>
      </c>
      <c r="AL74" t="s">
        <v>170</v>
      </c>
      <c r="AM74" t="s">
        <v>170</v>
      </c>
      <c r="AN74" t="s">
        <v>170</v>
      </c>
      <c r="AO74" t="s">
        <v>183</v>
      </c>
      <c r="AP74">
        <v>1</v>
      </c>
      <c r="AQ74" t="s">
        <v>170</v>
      </c>
      <c r="AR74" t="s">
        <v>194</v>
      </c>
      <c r="AS74" t="s">
        <v>185</v>
      </c>
      <c r="AU74">
        <v>45778</v>
      </c>
      <c r="AX74" t="s">
        <v>170</v>
      </c>
      <c r="AY74">
        <v>1208</v>
      </c>
      <c r="BA74" t="s">
        <v>185</v>
      </c>
      <c r="BG74" t="s">
        <v>170</v>
      </c>
      <c r="BH74" t="s">
        <v>277</v>
      </c>
      <c r="BJ74" t="s">
        <v>211</v>
      </c>
      <c r="BK74">
        <v>0</v>
      </c>
      <c r="BN74" t="s">
        <v>656</v>
      </c>
      <c r="BO74">
        <v>24</v>
      </c>
      <c r="BP74">
        <v>1</v>
      </c>
    </row>
    <row r="75" spans="1:68" x14ac:dyDescent="0.25">
      <c r="A75" t="s">
        <v>278</v>
      </c>
      <c r="B75" s="1">
        <v>46181</v>
      </c>
      <c r="E75" t="s">
        <v>170</v>
      </c>
      <c r="F75">
        <v>0</v>
      </c>
      <c r="G75" t="s">
        <v>170</v>
      </c>
      <c r="H75">
        <v>8</v>
      </c>
      <c r="J75" t="s">
        <v>170</v>
      </c>
      <c r="L75" t="s">
        <v>187</v>
      </c>
      <c r="P75">
        <v>0</v>
      </c>
      <c r="Q75" t="s">
        <v>197</v>
      </c>
      <c r="R75" t="s">
        <v>85</v>
      </c>
      <c r="S75" t="s">
        <v>190</v>
      </c>
      <c r="T75" t="s">
        <v>191</v>
      </c>
      <c r="U75" t="s">
        <v>209</v>
      </c>
      <c r="V75" t="s">
        <v>210</v>
      </c>
      <c r="Z75" t="s">
        <v>170</v>
      </c>
      <c r="AA75">
        <v>0</v>
      </c>
      <c r="AB75" t="s">
        <v>179</v>
      </c>
      <c r="AC75" t="s">
        <v>170</v>
      </c>
      <c r="AD75" t="s">
        <v>170</v>
      </c>
      <c r="AF75" t="s">
        <v>180</v>
      </c>
      <c r="AG75" t="s">
        <v>181</v>
      </c>
      <c r="AH75" t="s">
        <v>72</v>
      </c>
      <c r="AI75" t="s">
        <v>210</v>
      </c>
      <c r="AJ75">
        <v>1</v>
      </c>
      <c r="AL75" t="s">
        <v>170</v>
      </c>
      <c r="AM75" t="s">
        <v>170</v>
      </c>
      <c r="AN75" t="s">
        <v>170</v>
      </c>
      <c r="AO75" t="s">
        <v>85</v>
      </c>
      <c r="AP75">
        <v>1</v>
      </c>
      <c r="AQ75" t="s">
        <v>170</v>
      </c>
      <c r="AR75" t="s">
        <v>184</v>
      </c>
      <c r="AS75" t="s">
        <v>185</v>
      </c>
      <c r="AU75">
        <v>42583</v>
      </c>
      <c r="AX75" t="s">
        <v>170</v>
      </c>
      <c r="AY75">
        <v>674</v>
      </c>
      <c r="BA75" t="s">
        <v>185</v>
      </c>
      <c r="BG75" t="s">
        <v>170</v>
      </c>
      <c r="BH75" t="s">
        <v>278</v>
      </c>
      <c r="BJ75" t="s">
        <v>211</v>
      </c>
      <c r="BK75">
        <v>0</v>
      </c>
      <c r="BN75" t="s">
        <v>657</v>
      </c>
      <c r="BO75">
        <v>24</v>
      </c>
      <c r="BP75">
        <v>1</v>
      </c>
    </row>
    <row r="76" spans="1:68" x14ac:dyDescent="0.25">
      <c r="A76" t="s">
        <v>432</v>
      </c>
      <c r="B76" s="1">
        <v>46181</v>
      </c>
      <c r="E76" t="s">
        <v>170</v>
      </c>
      <c r="F76">
        <v>0</v>
      </c>
      <c r="G76" t="s">
        <v>170</v>
      </c>
      <c r="H76">
        <v>8</v>
      </c>
      <c r="J76" t="s">
        <v>170</v>
      </c>
      <c r="L76" t="s">
        <v>187</v>
      </c>
      <c r="P76">
        <v>0</v>
      </c>
      <c r="Q76" t="s">
        <v>197</v>
      </c>
      <c r="R76" t="s">
        <v>174</v>
      </c>
      <c r="S76" t="s">
        <v>190</v>
      </c>
      <c r="T76" t="s">
        <v>191</v>
      </c>
      <c r="U76" t="s">
        <v>215</v>
      </c>
      <c r="V76" t="s">
        <v>216</v>
      </c>
      <c r="Z76" t="s">
        <v>170</v>
      </c>
      <c r="AA76">
        <v>0</v>
      </c>
      <c r="AB76" t="s">
        <v>179</v>
      </c>
      <c r="AC76" t="s">
        <v>170</v>
      </c>
      <c r="AD76" t="s">
        <v>170</v>
      </c>
      <c r="AF76" t="s">
        <v>180</v>
      </c>
      <c r="AG76" t="s">
        <v>181</v>
      </c>
      <c r="AH76" t="s">
        <v>72</v>
      </c>
      <c r="AI76" t="s">
        <v>216</v>
      </c>
      <c r="AJ76">
        <v>1</v>
      </c>
      <c r="AL76" t="s">
        <v>170</v>
      </c>
      <c r="AM76" t="s">
        <v>170</v>
      </c>
      <c r="AN76" t="s">
        <v>170</v>
      </c>
      <c r="AO76" t="s">
        <v>183</v>
      </c>
      <c r="AP76">
        <v>1</v>
      </c>
      <c r="AQ76" t="s">
        <v>170</v>
      </c>
      <c r="AR76" t="s">
        <v>194</v>
      </c>
      <c r="AS76" t="s">
        <v>185</v>
      </c>
      <c r="AU76">
        <v>41519</v>
      </c>
      <c r="AX76" t="s">
        <v>170</v>
      </c>
      <c r="AY76">
        <v>580</v>
      </c>
      <c r="BA76" t="s">
        <v>185</v>
      </c>
      <c r="BG76" t="s">
        <v>170</v>
      </c>
      <c r="BH76" t="s">
        <v>432</v>
      </c>
      <c r="BI76">
        <v>1</v>
      </c>
      <c r="BJ76" t="s">
        <v>211</v>
      </c>
      <c r="BK76">
        <v>0</v>
      </c>
      <c r="BN76" t="s">
        <v>658</v>
      </c>
      <c r="BO76">
        <v>24</v>
      </c>
      <c r="BP76">
        <v>1</v>
      </c>
    </row>
    <row r="77" spans="1:68" x14ac:dyDescent="0.25">
      <c r="A77" t="s">
        <v>433</v>
      </c>
      <c r="B77" s="1">
        <v>46181</v>
      </c>
      <c r="E77" t="s">
        <v>170</v>
      </c>
      <c r="F77">
        <v>0</v>
      </c>
      <c r="G77" t="s">
        <v>170</v>
      </c>
      <c r="H77">
        <v>7.67</v>
      </c>
      <c r="J77" t="s">
        <v>170</v>
      </c>
      <c r="L77" t="s">
        <v>208</v>
      </c>
      <c r="P77">
        <v>0</v>
      </c>
      <c r="Q77" t="s">
        <v>197</v>
      </c>
      <c r="R77" t="s">
        <v>174</v>
      </c>
      <c r="S77" t="s">
        <v>190</v>
      </c>
      <c r="T77" t="s">
        <v>191</v>
      </c>
      <c r="U77" t="s">
        <v>215</v>
      </c>
      <c r="V77" t="s">
        <v>216</v>
      </c>
      <c r="Z77" t="s">
        <v>170</v>
      </c>
      <c r="AA77">
        <v>0</v>
      </c>
      <c r="AB77" t="s">
        <v>179</v>
      </c>
      <c r="AC77" t="s">
        <v>170</v>
      </c>
      <c r="AD77" t="s">
        <v>170</v>
      </c>
      <c r="AF77" t="s">
        <v>180</v>
      </c>
      <c r="AG77" t="s">
        <v>181</v>
      </c>
      <c r="AH77" t="s">
        <v>73</v>
      </c>
      <c r="AI77" t="s">
        <v>216</v>
      </c>
      <c r="AJ77">
        <v>1</v>
      </c>
      <c r="AL77" t="s">
        <v>170</v>
      </c>
      <c r="AM77" t="s">
        <v>170</v>
      </c>
      <c r="AN77" t="s">
        <v>170</v>
      </c>
      <c r="AO77" t="s">
        <v>183</v>
      </c>
      <c r="AP77">
        <v>1</v>
      </c>
      <c r="AQ77" t="s">
        <v>170</v>
      </c>
      <c r="AR77" t="s">
        <v>194</v>
      </c>
      <c r="AS77" t="s">
        <v>185</v>
      </c>
      <c r="AU77">
        <v>44774</v>
      </c>
      <c r="AX77" t="s">
        <v>170</v>
      </c>
      <c r="AY77">
        <v>1071</v>
      </c>
      <c r="BA77" t="s">
        <v>185</v>
      </c>
      <c r="BG77" t="s">
        <v>170</v>
      </c>
      <c r="BH77" t="s">
        <v>433</v>
      </c>
      <c r="BJ77" t="s">
        <v>195</v>
      </c>
      <c r="BK77">
        <v>0</v>
      </c>
      <c r="BN77" t="s">
        <v>659</v>
      </c>
      <c r="BO77">
        <v>24</v>
      </c>
      <c r="BP77">
        <v>1</v>
      </c>
    </row>
    <row r="78" spans="1:68" x14ac:dyDescent="0.25">
      <c r="A78" t="s">
        <v>435</v>
      </c>
      <c r="B78" s="1">
        <v>46181</v>
      </c>
      <c r="E78" t="s">
        <v>170</v>
      </c>
      <c r="F78">
        <v>0</v>
      </c>
      <c r="G78" t="s">
        <v>170</v>
      </c>
      <c r="H78">
        <v>8</v>
      </c>
      <c r="J78" t="s">
        <v>170</v>
      </c>
      <c r="L78" t="s">
        <v>187</v>
      </c>
      <c r="P78">
        <v>0</v>
      </c>
      <c r="Q78" t="s">
        <v>197</v>
      </c>
      <c r="R78" t="s">
        <v>174</v>
      </c>
      <c r="S78" t="s">
        <v>190</v>
      </c>
      <c r="T78" t="s">
        <v>191</v>
      </c>
      <c r="U78" t="s">
        <v>209</v>
      </c>
      <c r="V78" t="s">
        <v>210</v>
      </c>
      <c r="Z78" t="s">
        <v>170</v>
      </c>
      <c r="AA78">
        <v>0</v>
      </c>
      <c r="AB78" t="s">
        <v>179</v>
      </c>
      <c r="AC78" t="s">
        <v>170</v>
      </c>
      <c r="AD78" t="s">
        <v>170</v>
      </c>
      <c r="AF78" t="s">
        <v>180</v>
      </c>
      <c r="AG78" t="s">
        <v>181</v>
      </c>
      <c r="AH78" t="s">
        <v>72</v>
      </c>
      <c r="AI78" t="s">
        <v>210</v>
      </c>
      <c r="AJ78">
        <v>1</v>
      </c>
      <c r="AL78" t="s">
        <v>170</v>
      </c>
      <c r="AM78" t="s">
        <v>170</v>
      </c>
      <c r="AN78" t="s">
        <v>170</v>
      </c>
      <c r="AO78" t="s">
        <v>183</v>
      </c>
      <c r="AP78">
        <v>1</v>
      </c>
      <c r="AQ78" t="s">
        <v>170</v>
      </c>
      <c r="AR78" t="s">
        <v>184</v>
      </c>
      <c r="AS78" t="s">
        <v>185</v>
      </c>
      <c r="AU78">
        <v>44531</v>
      </c>
      <c r="AX78" t="s">
        <v>170</v>
      </c>
      <c r="AY78">
        <v>1000</v>
      </c>
      <c r="BA78" t="s">
        <v>185</v>
      </c>
      <c r="BG78" t="s">
        <v>170</v>
      </c>
      <c r="BH78" t="s">
        <v>435</v>
      </c>
      <c r="BJ78" t="s">
        <v>211</v>
      </c>
      <c r="BK78">
        <v>0</v>
      </c>
      <c r="BN78" t="s">
        <v>660</v>
      </c>
      <c r="BO78">
        <v>24</v>
      </c>
      <c r="BP78">
        <v>1</v>
      </c>
    </row>
    <row r="79" spans="1:68" x14ac:dyDescent="0.25">
      <c r="A79" t="s">
        <v>661</v>
      </c>
      <c r="B79" s="1">
        <v>46181</v>
      </c>
      <c r="E79" t="s">
        <v>170</v>
      </c>
      <c r="F79">
        <v>0</v>
      </c>
      <c r="G79" t="s">
        <v>170</v>
      </c>
      <c r="H79">
        <v>8</v>
      </c>
      <c r="J79" t="s">
        <v>170</v>
      </c>
      <c r="L79" t="s">
        <v>187</v>
      </c>
      <c r="P79">
        <v>0</v>
      </c>
      <c r="Q79" t="s">
        <v>197</v>
      </c>
      <c r="R79" t="s">
        <v>174</v>
      </c>
      <c r="S79" t="s">
        <v>190</v>
      </c>
      <c r="T79" t="s">
        <v>191</v>
      </c>
      <c r="U79" t="s">
        <v>215</v>
      </c>
      <c r="V79" t="s">
        <v>216</v>
      </c>
      <c r="Z79" t="s">
        <v>170</v>
      </c>
      <c r="AA79">
        <v>0</v>
      </c>
      <c r="AB79" t="s">
        <v>179</v>
      </c>
      <c r="AC79" t="s">
        <v>170</v>
      </c>
      <c r="AD79" t="s">
        <v>170</v>
      </c>
      <c r="AF79" t="s">
        <v>180</v>
      </c>
      <c r="AG79" t="s">
        <v>181</v>
      </c>
      <c r="AH79" t="s">
        <v>72</v>
      </c>
      <c r="AI79" t="s">
        <v>216</v>
      </c>
      <c r="AJ79">
        <v>1</v>
      </c>
      <c r="AL79" t="s">
        <v>170</v>
      </c>
      <c r="AM79" t="s">
        <v>170</v>
      </c>
      <c r="AN79" t="s">
        <v>170</v>
      </c>
      <c r="AO79" t="s">
        <v>183</v>
      </c>
      <c r="AP79">
        <v>1</v>
      </c>
      <c r="AQ79" t="s">
        <v>170</v>
      </c>
      <c r="AR79" t="s">
        <v>194</v>
      </c>
      <c r="AS79" t="s">
        <v>185</v>
      </c>
      <c r="AU79">
        <v>42795</v>
      </c>
      <c r="AX79" t="s">
        <v>170</v>
      </c>
      <c r="AY79">
        <v>728</v>
      </c>
      <c r="BA79" t="s">
        <v>185</v>
      </c>
      <c r="BG79" t="s">
        <v>170</v>
      </c>
      <c r="BH79" t="s">
        <v>661</v>
      </c>
      <c r="BI79">
        <v>2</v>
      </c>
      <c r="BJ79" t="s">
        <v>211</v>
      </c>
      <c r="BK79">
        <v>0</v>
      </c>
      <c r="BN79" t="s">
        <v>662</v>
      </c>
      <c r="BO79">
        <v>24</v>
      </c>
      <c r="BP79">
        <v>1</v>
      </c>
    </row>
    <row r="80" spans="1:68" x14ac:dyDescent="0.25">
      <c r="A80" t="s">
        <v>207</v>
      </c>
      <c r="B80" s="1">
        <v>46181</v>
      </c>
      <c r="E80" t="s">
        <v>170</v>
      </c>
      <c r="F80">
        <v>0</v>
      </c>
      <c r="G80" t="s">
        <v>170</v>
      </c>
      <c r="H80">
        <v>8</v>
      </c>
      <c r="J80" t="s">
        <v>170</v>
      </c>
      <c r="L80" t="s">
        <v>187</v>
      </c>
      <c r="P80">
        <v>0</v>
      </c>
      <c r="Q80" t="s">
        <v>197</v>
      </c>
      <c r="R80" t="s">
        <v>174</v>
      </c>
      <c r="S80" t="s">
        <v>190</v>
      </c>
      <c r="T80" t="s">
        <v>191</v>
      </c>
      <c r="U80" t="s">
        <v>209</v>
      </c>
      <c r="V80" t="s">
        <v>210</v>
      </c>
      <c r="Z80" t="s">
        <v>170</v>
      </c>
      <c r="AA80">
        <v>0</v>
      </c>
      <c r="AB80" t="s">
        <v>179</v>
      </c>
      <c r="AC80" t="s">
        <v>170</v>
      </c>
      <c r="AD80" t="s">
        <v>170</v>
      </c>
      <c r="AF80" t="s">
        <v>180</v>
      </c>
      <c r="AG80" t="s">
        <v>181</v>
      </c>
      <c r="AH80" t="s">
        <v>72</v>
      </c>
      <c r="AI80" t="s">
        <v>210</v>
      </c>
      <c r="AJ80">
        <v>1</v>
      </c>
      <c r="AL80" t="s">
        <v>170</v>
      </c>
      <c r="AM80" t="s">
        <v>170</v>
      </c>
      <c r="AN80" t="s">
        <v>170</v>
      </c>
      <c r="AO80" t="s">
        <v>183</v>
      </c>
      <c r="AP80">
        <v>1</v>
      </c>
      <c r="AQ80" t="s">
        <v>170</v>
      </c>
      <c r="AR80" t="s">
        <v>184</v>
      </c>
      <c r="AS80" t="s">
        <v>185</v>
      </c>
      <c r="AU80">
        <v>44378</v>
      </c>
      <c r="AX80" t="s">
        <v>170</v>
      </c>
      <c r="AY80">
        <v>942</v>
      </c>
      <c r="BA80" t="s">
        <v>185</v>
      </c>
      <c r="BG80" t="s">
        <v>170</v>
      </c>
      <c r="BH80" t="s">
        <v>207</v>
      </c>
      <c r="BJ80" t="s">
        <v>211</v>
      </c>
      <c r="BK80">
        <v>0</v>
      </c>
      <c r="BN80" t="s">
        <v>663</v>
      </c>
      <c r="BO80">
        <v>24</v>
      </c>
      <c r="BP80">
        <v>1</v>
      </c>
    </row>
    <row r="81" spans="1:68" x14ac:dyDescent="0.25">
      <c r="A81" t="s">
        <v>437</v>
      </c>
      <c r="B81" s="1">
        <v>46181</v>
      </c>
      <c r="E81" t="s">
        <v>170</v>
      </c>
      <c r="F81">
        <v>0</v>
      </c>
      <c r="G81" t="s">
        <v>170</v>
      </c>
      <c r="H81">
        <v>7.67</v>
      </c>
      <c r="J81" t="s">
        <v>170</v>
      </c>
      <c r="L81" t="s">
        <v>208</v>
      </c>
      <c r="P81">
        <v>0</v>
      </c>
      <c r="Q81" t="s">
        <v>197</v>
      </c>
      <c r="R81" t="s">
        <v>174</v>
      </c>
      <c r="S81" t="s">
        <v>190</v>
      </c>
      <c r="T81" t="s">
        <v>191</v>
      </c>
      <c r="U81" t="s">
        <v>215</v>
      </c>
      <c r="V81" t="s">
        <v>216</v>
      </c>
      <c r="Z81" t="s">
        <v>170</v>
      </c>
      <c r="AA81">
        <v>0</v>
      </c>
      <c r="AB81" t="s">
        <v>179</v>
      </c>
      <c r="AC81" t="s">
        <v>170</v>
      </c>
      <c r="AD81" t="s">
        <v>170</v>
      </c>
      <c r="AF81" t="s">
        <v>180</v>
      </c>
      <c r="AG81" t="s">
        <v>181</v>
      </c>
      <c r="AH81" t="s">
        <v>73</v>
      </c>
      <c r="AI81" t="s">
        <v>216</v>
      </c>
      <c r="AJ81">
        <v>1</v>
      </c>
      <c r="AL81" t="s">
        <v>170</v>
      </c>
      <c r="AM81" t="s">
        <v>170</v>
      </c>
      <c r="AN81" t="s">
        <v>170</v>
      </c>
      <c r="AO81" t="s">
        <v>183</v>
      </c>
      <c r="AP81">
        <v>1</v>
      </c>
      <c r="AQ81" t="s">
        <v>170</v>
      </c>
      <c r="AR81" t="s">
        <v>194</v>
      </c>
      <c r="AS81" t="s">
        <v>185</v>
      </c>
      <c r="AU81">
        <v>44440</v>
      </c>
      <c r="AX81" t="s">
        <v>170</v>
      </c>
      <c r="AY81">
        <v>960</v>
      </c>
      <c r="BA81" t="s">
        <v>185</v>
      </c>
      <c r="BG81" t="s">
        <v>170</v>
      </c>
      <c r="BH81" t="s">
        <v>437</v>
      </c>
      <c r="BJ81" t="s">
        <v>195</v>
      </c>
      <c r="BK81">
        <v>0</v>
      </c>
      <c r="BN81" t="s">
        <v>664</v>
      </c>
      <c r="BO81">
        <v>24</v>
      </c>
      <c r="BP81">
        <v>1</v>
      </c>
    </row>
    <row r="82" spans="1:68" x14ac:dyDescent="0.25">
      <c r="A82" t="s">
        <v>281</v>
      </c>
      <c r="B82" s="1">
        <v>46181</v>
      </c>
      <c r="E82" t="s">
        <v>170</v>
      </c>
      <c r="F82">
        <v>0</v>
      </c>
      <c r="G82" t="s">
        <v>170</v>
      </c>
      <c r="H82">
        <v>7.6</v>
      </c>
      <c r="J82" t="s">
        <v>170</v>
      </c>
      <c r="L82" t="s">
        <v>219</v>
      </c>
      <c r="P82">
        <v>0</v>
      </c>
      <c r="Q82" t="s">
        <v>197</v>
      </c>
      <c r="R82" t="s">
        <v>174</v>
      </c>
      <c r="S82" t="s">
        <v>190</v>
      </c>
      <c r="T82" t="s">
        <v>191</v>
      </c>
      <c r="U82" t="s">
        <v>215</v>
      </c>
      <c r="V82" t="s">
        <v>216</v>
      </c>
      <c r="Z82" t="s">
        <v>170</v>
      </c>
      <c r="AA82">
        <v>0</v>
      </c>
      <c r="AB82" t="s">
        <v>179</v>
      </c>
      <c r="AC82" t="s">
        <v>170</v>
      </c>
      <c r="AD82" t="s">
        <v>170</v>
      </c>
      <c r="AF82" t="s">
        <v>180</v>
      </c>
      <c r="AG82" t="s">
        <v>181</v>
      </c>
      <c r="AH82" t="s">
        <v>220</v>
      </c>
      <c r="AI82" t="s">
        <v>216</v>
      </c>
      <c r="AJ82">
        <v>1</v>
      </c>
      <c r="AL82" t="s">
        <v>170</v>
      </c>
      <c r="AM82" t="s">
        <v>170</v>
      </c>
      <c r="AN82" t="s">
        <v>170</v>
      </c>
      <c r="AO82" t="s">
        <v>183</v>
      </c>
      <c r="AP82">
        <v>1</v>
      </c>
      <c r="AQ82" t="s">
        <v>170</v>
      </c>
      <c r="AR82" t="s">
        <v>194</v>
      </c>
      <c r="AS82" t="s">
        <v>185</v>
      </c>
      <c r="AU82">
        <v>39741</v>
      </c>
      <c r="AX82" t="s">
        <v>170</v>
      </c>
      <c r="AY82">
        <v>343</v>
      </c>
      <c r="BA82" t="s">
        <v>185</v>
      </c>
      <c r="BG82" t="s">
        <v>170</v>
      </c>
      <c r="BH82" t="s">
        <v>281</v>
      </c>
      <c r="BI82">
        <v>1</v>
      </c>
      <c r="BJ82" t="s">
        <v>211</v>
      </c>
      <c r="BK82">
        <v>0</v>
      </c>
      <c r="BN82" t="s">
        <v>665</v>
      </c>
      <c r="BO82">
        <v>24</v>
      </c>
      <c r="BP82">
        <v>1</v>
      </c>
    </row>
    <row r="83" spans="1:68" x14ac:dyDescent="0.25">
      <c r="A83" t="s">
        <v>284</v>
      </c>
      <c r="B83" s="1">
        <v>46181</v>
      </c>
      <c r="C83" t="s">
        <v>170</v>
      </c>
      <c r="D83" t="s">
        <v>170</v>
      </c>
      <c r="E83" t="s">
        <v>170</v>
      </c>
      <c r="F83">
        <v>0</v>
      </c>
      <c r="G83" t="s">
        <v>170</v>
      </c>
      <c r="H83">
        <v>7.6</v>
      </c>
      <c r="J83" t="s">
        <v>170</v>
      </c>
      <c r="L83" t="s">
        <v>231</v>
      </c>
      <c r="P83">
        <v>3.6</v>
      </c>
      <c r="Q83" t="s">
        <v>197</v>
      </c>
      <c r="R83" t="s">
        <v>174</v>
      </c>
      <c r="S83" t="s">
        <v>190</v>
      </c>
      <c r="T83" t="s">
        <v>191</v>
      </c>
      <c r="U83" t="s">
        <v>209</v>
      </c>
      <c r="V83" t="s">
        <v>210</v>
      </c>
      <c r="Z83" t="s">
        <v>170</v>
      </c>
      <c r="AA83">
        <v>0.5</v>
      </c>
      <c r="AB83" t="s">
        <v>179</v>
      </c>
      <c r="AC83" t="s">
        <v>170</v>
      </c>
      <c r="AD83" t="s">
        <v>170</v>
      </c>
      <c r="AF83" t="s">
        <v>180</v>
      </c>
      <c r="AG83" t="s">
        <v>181</v>
      </c>
      <c r="AH83" t="s">
        <v>232</v>
      </c>
      <c r="AI83" t="s">
        <v>210</v>
      </c>
      <c r="AJ83">
        <v>1</v>
      </c>
      <c r="AL83" t="s">
        <v>170</v>
      </c>
      <c r="AM83" t="s">
        <v>170</v>
      </c>
      <c r="AN83" t="s">
        <v>170</v>
      </c>
      <c r="AO83" t="s">
        <v>183</v>
      </c>
      <c r="AP83">
        <v>1</v>
      </c>
      <c r="AQ83" t="s">
        <v>170</v>
      </c>
      <c r="AR83" t="s">
        <v>184</v>
      </c>
      <c r="AS83" t="s">
        <v>185</v>
      </c>
      <c r="AU83">
        <v>43739</v>
      </c>
      <c r="AX83" t="s">
        <v>170</v>
      </c>
      <c r="AY83">
        <v>897</v>
      </c>
      <c r="BA83" t="s">
        <v>185</v>
      </c>
      <c r="BG83" t="s">
        <v>170</v>
      </c>
      <c r="BH83" t="s">
        <v>284</v>
      </c>
      <c r="BJ83" t="s">
        <v>195</v>
      </c>
      <c r="BK83">
        <v>0</v>
      </c>
      <c r="BN83" t="s">
        <v>666</v>
      </c>
      <c r="BO83">
        <v>24</v>
      </c>
      <c r="BP83">
        <v>1</v>
      </c>
    </row>
    <row r="84" spans="1:68" x14ac:dyDescent="0.25">
      <c r="A84" t="s">
        <v>286</v>
      </c>
      <c r="B84" s="1">
        <v>46181</v>
      </c>
      <c r="C84" t="s">
        <v>170</v>
      </c>
      <c r="D84" t="s">
        <v>170</v>
      </c>
      <c r="E84" t="s">
        <v>170</v>
      </c>
      <c r="F84">
        <v>0</v>
      </c>
      <c r="G84" t="s">
        <v>170</v>
      </c>
      <c r="H84">
        <v>7.6</v>
      </c>
      <c r="J84" t="s">
        <v>170</v>
      </c>
      <c r="L84" t="s">
        <v>605</v>
      </c>
      <c r="P84">
        <v>3.6</v>
      </c>
      <c r="Q84" t="s">
        <v>197</v>
      </c>
      <c r="R84" t="s">
        <v>174</v>
      </c>
      <c r="S84" t="s">
        <v>190</v>
      </c>
      <c r="T84" t="s">
        <v>191</v>
      </c>
      <c r="U84" t="s">
        <v>209</v>
      </c>
      <c r="V84" t="s">
        <v>210</v>
      </c>
      <c r="Z84" t="s">
        <v>170</v>
      </c>
      <c r="AA84">
        <v>0.5</v>
      </c>
      <c r="AB84" t="s">
        <v>179</v>
      </c>
      <c r="AC84" t="s">
        <v>170</v>
      </c>
      <c r="AD84" t="s">
        <v>170</v>
      </c>
      <c r="AF84" t="s">
        <v>180</v>
      </c>
      <c r="AG84" t="s">
        <v>181</v>
      </c>
      <c r="AH84" t="s">
        <v>232</v>
      </c>
      <c r="AI84" t="s">
        <v>210</v>
      </c>
      <c r="AJ84">
        <v>1</v>
      </c>
      <c r="AL84" t="s">
        <v>170</v>
      </c>
      <c r="AM84" t="s">
        <v>170</v>
      </c>
      <c r="AN84" t="s">
        <v>170</v>
      </c>
      <c r="AO84" t="s">
        <v>183</v>
      </c>
      <c r="AP84">
        <v>1</v>
      </c>
      <c r="AQ84" t="s">
        <v>170</v>
      </c>
      <c r="AR84" t="s">
        <v>184</v>
      </c>
      <c r="AS84" t="s">
        <v>185</v>
      </c>
      <c r="AU84">
        <v>39517</v>
      </c>
      <c r="AX84" t="s">
        <v>170</v>
      </c>
      <c r="AY84">
        <v>309</v>
      </c>
      <c r="BA84" t="s">
        <v>185</v>
      </c>
      <c r="BG84" t="s">
        <v>170</v>
      </c>
      <c r="BH84" t="s">
        <v>286</v>
      </c>
      <c r="BJ84" t="s">
        <v>211</v>
      </c>
      <c r="BK84">
        <v>0</v>
      </c>
      <c r="BN84" t="s">
        <v>667</v>
      </c>
      <c r="BO84">
        <v>24</v>
      </c>
      <c r="BP84">
        <v>1</v>
      </c>
    </row>
    <row r="85" spans="1:68" x14ac:dyDescent="0.25">
      <c r="A85" t="s">
        <v>214</v>
      </c>
      <c r="B85" s="1">
        <v>46181</v>
      </c>
      <c r="E85" t="s">
        <v>170</v>
      </c>
      <c r="F85">
        <v>0</v>
      </c>
      <c r="G85" t="s">
        <v>170</v>
      </c>
      <c r="H85">
        <v>8</v>
      </c>
      <c r="J85" t="s">
        <v>170</v>
      </c>
      <c r="L85" t="s">
        <v>187</v>
      </c>
      <c r="P85">
        <v>0</v>
      </c>
      <c r="Q85" t="s">
        <v>197</v>
      </c>
      <c r="R85" t="s">
        <v>174</v>
      </c>
      <c r="S85" t="s">
        <v>190</v>
      </c>
      <c r="T85" t="s">
        <v>191</v>
      </c>
      <c r="U85" t="s">
        <v>215</v>
      </c>
      <c r="V85" t="s">
        <v>216</v>
      </c>
      <c r="Z85" t="s">
        <v>170</v>
      </c>
      <c r="AA85">
        <v>0</v>
      </c>
      <c r="AB85" t="s">
        <v>179</v>
      </c>
      <c r="AC85" t="s">
        <v>170</v>
      </c>
      <c r="AD85" t="s">
        <v>170</v>
      </c>
      <c r="AF85" t="s">
        <v>180</v>
      </c>
      <c r="AG85" t="s">
        <v>181</v>
      </c>
      <c r="AH85" t="s">
        <v>72</v>
      </c>
      <c r="AI85" t="s">
        <v>216</v>
      </c>
      <c r="AJ85">
        <v>1</v>
      </c>
      <c r="AL85" t="s">
        <v>170</v>
      </c>
      <c r="AM85" t="s">
        <v>170</v>
      </c>
      <c r="AN85" t="s">
        <v>170</v>
      </c>
      <c r="AO85" t="s">
        <v>183</v>
      </c>
      <c r="AP85">
        <v>1</v>
      </c>
      <c r="AQ85" t="s">
        <v>170</v>
      </c>
      <c r="AR85" t="s">
        <v>194</v>
      </c>
      <c r="AS85" t="s">
        <v>185</v>
      </c>
      <c r="AU85">
        <v>44986</v>
      </c>
      <c r="AX85" t="s">
        <v>170</v>
      </c>
      <c r="AY85">
        <v>1138</v>
      </c>
      <c r="BA85" t="s">
        <v>185</v>
      </c>
      <c r="BG85" t="s">
        <v>170</v>
      </c>
      <c r="BH85" t="s">
        <v>214</v>
      </c>
      <c r="BJ85" t="s">
        <v>211</v>
      </c>
      <c r="BK85">
        <v>0</v>
      </c>
      <c r="BN85" t="s">
        <v>668</v>
      </c>
      <c r="BO85">
        <v>24</v>
      </c>
      <c r="BP85">
        <v>1</v>
      </c>
    </row>
    <row r="86" spans="1:68" x14ac:dyDescent="0.25">
      <c r="A86" t="s">
        <v>218</v>
      </c>
      <c r="B86" s="1">
        <v>46181</v>
      </c>
      <c r="E86" t="s">
        <v>170</v>
      </c>
      <c r="F86">
        <v>0</v>
      </c>
      <c r="G86" t="s">
        <v>170</v>
      </c>
      <c r="H86">
        <v>7.6</v>
      </c>
      <c r="J86" t="s">
        <v>170</v>
      </c>
      <c r="L86" t="s">
        <v>219</v>
      </c>
      <c r="P86">
        <v>0</v>
      </c>
      <c r="Q86" t="s">
        <v>197</v>
      </c>
      <c r="R86" t="s">
        <v>174</v>
      </c>
      <c r="S86" t="s">
        <v>190</v>
      </c>
      <c r="T86" t="s">
        <v>191</v>
      </c>
      <c r="U86" t="s">
        <v>215</v>
      </c>
      <c r="V86" t="s">
        <v>216</v>
      </c>
      <c r="Z86" t="s">
        <v>170</v>
      </c>
      <c r="AA86">
        <v>0</v>
      </c>
      <c r="AB86" t="s">
        <v>179</v>
      </c>
      <c r="AC86" t="s">
        <v>170</v>
      </c>
      <c r="AD86" t="s">
        <v>170</v>
      </c>
      <c r="AF86" t="s">
        <v>180</v>
      </c>
      <c r="AG86" t="s">
        <v>181</v>
      </c>
      <c r="AH86" t="s">
        <v>220</v>
      </c>
      <c r="AI86" t="s">
        <v>216</v>
      </c>
      <c r="AJ86">
        <v>1</v>
      </c>
      <c r="AL86" t="s">
        <v>170</v>
      </c>
      <c r="AM86" t="s">
        <v>170</v>
      </c>
      <c r="AN86" t="s">
        <v>170</v>
      </c>
      <c r="AO86" t="s">
        <v>183</v>
      </c>
      <c r="AP86">
        <v>1</v>
      </c>
      <c r="AQ86" t="s">
        <v>170</v>
      </c>
      <c r="AR86" t="s">
        <v>194</v>
      </c>
      <c r="AS86" t="s">
        <v>185</v>
      </c>
      <c r="AU86">
        <v>42522</v>
      </c>
      <c r="AX86" t="s">
        <v>170</v>
      </c>
      <c r="AY86">
        <v>664</v>
      </c>
      <c r="BA86" t="s">
        <v>185</v>
      </c>
      <c r="BG86" t="s">
        <v>170</v>
      </c>
      <c r="BH86" t="s">
        <v>218</v>
      </c>
      <c r="BI86">
        <v>4</v>
      </c>
      <c r="BJ86" t="s">
        <v>195</v>
      </c>
      <c r="BK86">
        <v>0</v>
      </c>
      <c r="BN86" t="s">
        <v>669</v>
      </c>
      <c r="BO86">
        <v>24</v>
      </c>
      <c r="BP86">
        <v>1</v>
      </c>
    </row>
    <row r="87" spans="1:68" x14ac:dyDescent="0.25">
      <c r="A87" t="s">
        <v>439</v>
      </c>
      <c r="B87" s="1">
        <v>46181</v>
      </c>
      <c r="E87" t="s">
        <v>170</v>
      </c>
      <c r="F87">
        <v>0</v>
      </c>
      <c r="G87" t="s">
        <v>170</v>
      </c>
      <c r="H87">
        <v>8</v>
      </c>
      <c r="J87" t="s">
        <v>170</v>
      </c>
      <c r="L87" t="s">
        <v>187</v>
      </c>
      <c r="P87">
        <v>0</v>
      </c>
      <c r="Q87" t="s">
        <v>197</v>
      </c>
      <c r="R87" t="s">
        <v>174</v>
      </c>
      <c r="S87" t="s">
        <v>190</v>
      </c>
      <c r="T87" t="s">
        <v>191</v>
      </c>
      <c r="U87" t="s">
        <v>198</v>
      </c>
      <c r="V87" t="s">
        <v>199</v>
      </c>
      <c r="Z87" t="s">
        <v>170</v>
      </c>
      <c r="AA87">
        <v>0</v>
      </c>
      <c r="AB87" t="s">
        <v>179</v>
      </c>
      <c r="AC87" t="s">
        <v>170</v>
      </c>
      <c r="AD87" t="s">
        <v>170</v>
      </c>
      <c r="AF87" t="s">
        <v>180</v>
      </c>
      <c r="AG87" t="s">
        <v>181</v>
      </c>
      <c r="AH87" t="s">
        <v>72</v>
      </c>
      <c r="AI87" t="s">
        <v>199</v>
      </c>
      <c r="AJ87">
        <v>1</v>
      </c>
      <c r="AL87" t="s">
        <v>170</v>
      </c>
      <c r="AM87" t="s">
        <v>170</v>
      </c>
      <c r="AN87" t="s">
        <v>170</v>
      </c>
      <c r="AO87" t="s">
        <v>183</v>
      </c>
      <c r="AP87">
        <v>1</v>
      </c>
      <c r="AQ87" t="s">
        <v>170</v>
      </c>
      <c r="AR87" t="s">
        <v>222</v>
      </c>
      <c r="AS87" t="s">
        <v>185</v>
      </c>
      <c r="AU87">
        <v>40616</v>
      </c>
      <c r="AX87" t="s">
        <v>170</v>
      </c>
      <c r="AY87">
        <v>469</v>
      </c>
      <c r="BA87" t="s">
        <v>185</v>
      </c>
      <c r="BG87" t="s">
        <v>170</v>
      </c>
      <c r="BH87" t="s">
        <v>439</v>
      </c>
      <c r="BI87">
        <v>4</v>
      </c>
      <c r="BJ87" t="s">
        <v>211</v>
      </c>
      <c r="BK87">
        <v>0</v>
      </c>
      <c r="BN87" t="s">
        <v>670</v>
      </c>
      <c r="BO87">
        <v>24</v>
      </c>
      <c r="BP87">
        <v>1</v>
      </c>
    </row>
    <row r="88" spans="1:68" x14ac:dyDescent="0.25">
      <c r="A88" t="s">
        <v>287</v>
      </c>
      <c r="B88" s="1">
        <v>46181</v>
      </c>
      <c r="C88" t="s">
        <v>170</v>
      </c>
      <c r="D88" t="s">
        <v>170</v>
      </c>
      <c r="E88" t="s">
        <v>170</v>
      </c>
      <c r="F88">
        <v>0</v>
      </c>
      <c r="G88" t="s">
        <v>170</v>
      </c>
      <c r="H88">
        <v>7.6</v>
      </c>
      <c r="J88" t="s">
        <v>170</v>
      </c>
      <c r="L88" t="s">
        <v>605</v>
      </c>
      <c r="P88">
        <v>3.6</v>
      </c>
      <c r="Q88" t="s">
        <v>197</v>
      </c>
      <c r="R88" t="s">
        <v>174</v>
      </c>
      <c r="S88" t="s">
        <v>190</v>
      </c>
      <c r="T88" t="s">
        <v>191</v>
      </c>
      <c r="U88" t="s">
        <v>209</v>
      </c>
      <c r="V88" t="s">
        <v>210</v>
      </c>
      <c r="Z88" t="s">
        <v>170</v>
      </c>
      <c r="AA88">
        <v>0.5</v>
      </c>
      <c r="AB88" t="s">
        <v>179</v>
      </c>
      <c r="AC88" t="s">
        <v>170</v>
      </c>
      <c r="AD88" t="s">
        <v>170</v>
      </c>
      <c r="AF88" t="s">
        <v>180</v>
      </c>
      <c r="AG88" t="s">
        <v>181</v>
      </c>
      <c r="AH88" t="s">
        <v>232</v>
      </c>
      <c r="AI88" t="s">
        <v>210</v>
      </c>
      <c r="AJ88">
        <v>1</v>
      </c>
      <c r="AL88" t="s">
        <v>170</v>
      </c>
      <c r="AM88" t="s">
        <v>170</v>
      </c>
      <c r="AN88" t="s">
        <v>170</v>
      </c>
      <c r="AO88" t="s">
        <v>183</v>
      </c>
      <c r="AP88">
        <v>1</v>
      </c>
      <c r="AQ88" t="s">
        <v>170</v>
      </c>
      <c r="AR88" t="s">
        <v>184</v>
      </c>
      <c r="AS88" t="s">
        <v>185</v>
      </c>
      <c r="AU88">
        <v>39265</v>
      </c>
      <c r="AX88" t="s">
        <v>170</v>
      </c>
      <c r="AY88">
        <v>92</v>
      </c>
      <c r="BA88" t="s">
        <v>185</v>
      </c>
      <c r="BG88" t="s">
        <v>170</v>
      </c>
      <c r="BH88" t="s">
        <v>287</v>
      </c>
      <c r="BI88">
        <v>3</v>
      </c>
      <c r="BJ88" t="s">
        <v>220</v>
      </c>
      <c r="BK88">
        <v>0</v>
      </c>
      <c r="BN88" t="s">
        <v>671</v>
      </c>
      <c r="BO88">
        <v>24</v>
      </c>
      <c r="BP88">
        <v>1</v>
      </c>
    </row>
    <row r="89" spans="1:68" x14ac:dyDescent="0.25">
      <c r="A89" t="s">
        <v>288</v>
      </c>
      <c r="B89" s="1">
        <v>46181</v>
      </c>
      <c r="E89" t="s">
        <v>170</v>
      </c>
      <c r="F89">
        <v>0</v>
      </c>
      <c r="G89" t="s">
        <v>170</v>
      </c>
      <c r="H89">
        <v>7.67</v>
      </c>
      <c r="J89" t="s">
        <v>170</v>
      </c>
      <c r="L89" t="s">
        <v>208</v>
      </c>
      <c r="P89">
        <v>0</v>
      </c>
      <c r="Q89" t="s">
        <v>197</v>
      </c>
      <c r="R89" t="s">
        <v>174</v>
      </c>
      <c r="S89" t="s">
        <v>190</v>
      </c>
      <c r="T89" t="s">
        <v>191</v>
      </c>
      <c r="U89" t="s">
        <v>209</v>
      </c>
      <c r="V89" t="s">
        <v>210</v>
      </c>
      <c r="Z89" t="s">
        <v>170</v>
      </c>
      <c r="AA89">
        <v>0</v>
      </c>
      <c r="AB89" t="s">
        <v>179</v>
      </c>
      <c r="AC89" t="s">
        <v>170</v>
      </c>
      <c r="AD89" t="s">
        <v>170</v>
      </c>
      <c r="AF89" t="s">
        <v>180</v>
      </c>
      <c r="AG89" t="s">
        <v>181</v>
      </c>
      <c r="AH89" t="s">
        <v>73</v>
      </c>
      <c r="AI89" t="s">
        <v>210</v>
      </c>
      <c r="AJ89">
        <v>1</v>
      </c>
      <c r="AL89" t="s">
        <v>170</v>
      </c>
      <c r="AM89" t="s">
        <v>170</v>
      </c>
      <c r="AN89" t="s">
        <v>170</v>
      </c>
      <c r="AO89" t="s">
        <v>183</v>
      </c>
      <c r="AP89">
        <v>1</v>
      </c>
      <c r="AQ89" t="s">
        <v>170</v>
      </c>
      <c r="AR89" t="s">
        <v>184</v>
      </c>
      <c r="AS89" t="s">
        <v>185</v>
      </c>
      <c r="AU89">
        <v>44774</v>
      </c>
      <c r="AX89" t="s">
        <v>170</v>
      </c>
      <c r="AY89">
        <v>1079</v>
      </c>
      <c r="BA89" t="s">
        <v>185</v>
      </c>
      <c r="BG89" t="s">
        <v>170</v>
      </c>
      <c r="BH89" t="s">
        <v>288</v>
      </c>
      <c r="BJ89" t="s">
        <v>195</v>
      </c>
      <c r="BK89">
        <v>0</v>
      </c>
      <c r="BN89" t="s">
        <v>672</v>
      </c>
      <c r="BO89">
        <v>24</v>
      </c>
      <c r="BP89">
        <v>1</v>
      </c>
    </row>
    <row r="90" spans="1:68" x14ac:dyDescent="0.25">
      <c r="A90" t="s">
        <v>289</v>
      </c>
      <c r="B90" s="1">
        <v>46181</v>
      </c>
      <c r="E90" t="s">
        <v>170</v>
      </c>
      <c r="F90">
        <v>0</v>
      </c>
      <c r="G90" t="s">
        <v>170</v>
      </c>
      <c r="H90">
        <v>7.67</v>
      </c>
      <c r="J90" t="s">
        <v>170</v>
      </c>
      <c r="L90" t="s">
        <v>208</v>
      </c>
      <c r="P90">
        <v>0</v>
      </c>
      <c r="Q90" t="s">
        <v>197</v>
      </c>
      <c r="R90" t="s">
        <v>174</v>
      </c>
      <c r="S90" t="s">
        <v>190</v>
      </c>
      <c r="T90" t="s">
        <v>191</v>
      </c>
      <c r="U90" t="s">
        <v>215</v>
      </c>
      <c r="V90" t="s">
        <v>216</v>
      </c>
      <c r="Z90" t="s">
        <v>170</v>
      </c>
      <c r="AA90">
        <v>0</v>
      </c>
      <c r="AB90" t="s">
        <v>179</v>
      </c>
      <c r="AC90" t="s">
        <v>170</v>
      </c>
      <c r="AD90" t="s">
        <v>170</v>
      </c>
      <c r="AF90" t="s">
        <v>180</v>
      </c>
      <c r="AG90" t="s">
        <v>181</v>
      </c>
      <c r="AH90" t="s">
        <v>73</v>
      </c>
      <c r="AI90" t="s">
        <v>216</v>
      </c>
      <c r="AJ90">
        <v>1</v>
      </c>
      <c r="AL90" t="s">
        <v>170</v>
      </c>
      <c r="AM90" t="s">
        <v>170</v>
      </c>
      <c r="AN90" t="s">
        <v>170</v>
      </c>
      <c r="AO90" t="s">
        <v>183</v>
      </c>
      <c r="AP90">
        <v>1</v>
      </c>
      <c r="AQ90" t="s">
        <v>170</v>
      </c>
      <c r="AR90" t="s">
        <v>194</v>
      </c>
      <c r="AS90" t="s">
        <v>185</v>
      </c>
      <c r="AU90">
        <v>43160</v>
      </c>
      <c r="AX90" t="s">
        <v>170</v>
      </c>
      <c r="AY90">
        <v>790</v>
      </c>
      <c r="BA90" t="s">
        <v>185</v>
      </c>
      <c r="BG90" t="s">
        <v>170</v>
      </c>
      <c r="BH90" t="s">
        <v>289</v>
      </c>
      <c r="BI90">
        <v>3</v>
      </c>
      <c r="BJ90" t="s">
        <v>195</v>
      </c>
      <c r="BK90">
        <v>0</v>
      </c>
      <c r="BN90" t="s">
        <v>673</v>
      </c>
      <c r="BO90">
        <v>24</v>
      </c>
      <c r="BP90">
        <v>1</v>
      </c>
    </row>
    <row r="91" spans="1:68" x14ac:dyDescent="0.25">
      <c r="A91" t="s">
        <v>290</v>
      </c>
      <c r="B91" s="1">
        <v>46181</v>
      </c>
      <c r="E91" t="s">
        <v>170</v>
      </c>
      <c r="F91">
        <v>0</v>
      </c>
      <c r="G91" t="s">
        <v>170</v>
      </c>
      <c r="H91">
        <v>7.6</v>
      </c>
      <c r="J91" t="s">
        <v>170</v>
      </c>
      <c r="L91" t="s">
        <v>219</v>
      </c>
      <c r="P91">
        <v>0</v>
      </c>
      <c r="Q91" t="s">
        <v>197</v>
      </c>
      <c r="R91" t="s">
        <v>174</v>
      </c>
      <c r="S91" t="s">
        <v>190</v>
      </c>
      <c r="T91" t="s">
        <v>191</v>
      </c>
      <c r="U91" t="s">
        <v>209</v>
      </c>
      <c r="V91" t="s">
        <v>210</v>
      </c>
      <c r="Z91" t="s">
        <v>170</v>
      </c>
      <c r="AA91">
        <v>0</v>
      </c>
      <c r="AB91" t="s">
        <v>179</v>
      </c>
      <c r="AC91" t="s">
        <v>170</v>
      </c>
      <c r="AD91" t="s">
        <v>170</v>
      </c>
      <c r="AF91" t="s">
        <v>180</v>
      </c>
      <c r="AG91" t="s">
        <v>181</v>
      </c>
      <c r="AH91" t="s">
        <v>220</v>
      </c>
      <c r="AI91" t="s">
        <v>210</v>
      </c>
      <c r="AJ91">
        <v>1</v>
      </c>
      <c r="AL91" t="s">
        <v>170</v>
      </c>
      <c r="AM91" t="s">
        <v>170</v>
      </c>
      <c r="AN91" t="s">
        <v>170</v>
      </c>
      <c r="AO91" t="s">
        <v>183</v>
      </c>
      <c r="AP91">
        <v>1</v>
      </c>
      <c r="AQ91" t="s">
        <v>170</v>
      </c>
      <c r="AR91" t="s">
        <v>184</v>
      </c>
      <c r="AS91" t="s">
        <v>185</v>
      </c>
      <c r="AU91">
        <v>39741</v>
      </c>
      <c r="AX91" t="s">
        <v>170</v>
      </c>
      <c r="AY91">
        <v>346</v>
      </c>
      <c r="BA91" t="s">
        <v>185</v>
      </c>
      <c r="BG91" t="s">
        <v>170</v>
      </c>
      <c r="BH91" t="s">
        <v>290</v>
      </c>
      <c r="BI91">
        <v>1</v>
      </c>
      <c r="BJ91" t="s">
        <v>220</v>
      </c>
      <c r="BK91">
        <v>0</v>
      </c>
      <c r="BN91" t="s">
        <v>674</v>
      </c>
      <c r="BO91">
        <v>24</v>
      </c>
      <c r="BP91">
        <v>1</v>
      </c>
    </row>
    <row r="92" spans="1:68" x14ac:dyDescent="0.25">
      <c r="A92" t="s">
        <v>675</v>
      </c>
      <c r="B92" s="1">
        <v>46181</v>
      </c>
      <c r="E92" t="s">
        <v>170</v>
      </c>
      <c r="F92">
        <v>0</v>
      </c>
      <c r="G92" t="s">
        <v>170</v>
      </c>
      <c r="H92">
        <v>7.67</v>
      </c>
      <c r="J92" t="s">
        <v>170</v>
      </c>
      <c r="L92" t="s">
        <v>208</v>
      </c>
      <c r="P92">
        <v>0</v>
      </c>
      <c r="Q92" t="s">
        <v>197</v>
      </c>
      <c r="R92" t="s">
        <v>174</v>
      </c>
      <c r="S92" t="s">
        <v>190</v>
      </c>
      <c r="T92" t="s">
        <v>191</v>
      </c>
      <c r="U92" t="s">
        <v>215</v>
      </c>
      <c r="V92" t="s">
        <v>216</v>
      </c>
      <c r="Z92" t="s">
        <v>170</v>
      </c>
      <c r="AA92">
        <v>0</v>
      </c>
      <c r="AB92" t="s">
        <v>179</v>
      </c>
      <c r="AC92" t="s">
        <v>170</v>
      </c>
      <c r="AD92" t="s">
        <v>170</v>
      </c>
      <c r="AF92" t="s">
        <v>180</v>
      </c>
      <c r="AG92" t="s">
        <v>181</v>
      </c>
      <c r="AH92" t="s">
        <v>73</v>
      </c>
      <c r="AI92" t="s">
        <v>216</v>
      </c>
      <c r="AJ92">
        <v>1</v>
      </c>
      <c r="AL92" t="s">
        <v>170</v>
      </c>
      <c r="AM92" t="s">
        <v>170</v>
      </c>
      <c r="AN92" t="s">
        <v>170</v>
      </c>
      <c r="AO92" t="s">
        <v>183</v>
      </c>
      <c r="AP92">
        <v>1</v>
      </c>
      <c r="AQ92" t="s">
        <v>170</v>
      </c>
      <c r="AR92" t="s">
        <v>194</v>
      </c>
      <c r="AS92" t="s">
        <v>185</v>
      </c>
      <c r="AU92">
        <v>43221</v>
      </c>
      <c r="AX92" t="s">
        <v>170</v>
      </c>
      <c r="AY92">
        <v>803</v>
      </c>
      <c r="BA92" t="s">
        <v>185</v>
      </c>
      <c r="BG92" t="s">
        <v>170</v>
      </c>
      <c r="BH92" t="s">
        <v>675</v>
      </c>
      <c r="BI92">
        <v>2</v>
      </c>
      <c r="BJ92" t="s">
        <v>195</v>
      </c>
      <c r="BK92">
        <v>0</v>
      </c>
      <c r="BN92" t="s">
        <v>676</v>
      </c>
      <c r="BO92">
        <v>24</v>
      </c>
      <c r="BP92">
        <v>1</v>
      </c>
    </row>
    <row r="93" spans="1:68" x14ac:dyDescent="0.25">
      <c r="A93" t="s">
        <v>441</v>
      </c>
      <c r="B93" s="1">
        <v>46181</v>
      </c>
      <c r="E93" t="s">
        <v>170</v>
      </c>
      <c r="F93">
        <v>0</v>
      </c>
      <c r="G93" t="s">
        <v>170</v>
      </c>
      <c r="H93">
        <v>8</v>
      </c>
      <c r="J93" t="s">
        <v>170</v>
      </c>
      <c r="L93" t="s">
        <v>187</v>
      </c>
      <c r="P93">
        <v>0</v>
      </c>
      <c r="Q93" t="s">
        <v>197</v>
      </c>
      <c r="R93" t="s">
        <v>174</v>
      </c>
      <c r="S93" t="s">
        <v>190</v>
      </c>
      <c r="T93" t="s">
        <v>191</v>
      </c>
      <c r="U93" t="s">
        <v>215</v>
      </c>
      <c r="V93" t="s">
        <v>216</v>
      </c>
      <c r="Z93" t="s">
        <v>170</v>
      </c>
      <c r="AA93">
        <v>0</v>
      </c>
      <c r="AB93" t="s">
        <v>179</v>
      </c>
      <c r="AC93" t="s">
        <v>170</v>
      </c>
      <c r="AD93" t="s">
        <v>170</v>
      </c>
      <c r="AF93" t="s">
        <v>180</v>
      </c>
      <c r="AG93" t="s">
        <v>181</v>
      </c>
      <c r="AH93" t="s">
        <v>72</v>
      </c>
      <c r="AI93" t="s">
        <v>216</v>
      </c>
      <c r="AJ93">
        <v>1</v>
      </c>
      <c r="AL93" t="s">
        <v>170</v>
      </c>
      <c r="AM93" t="s">
        <v>170</v>
      </c>
      <c r="AN93" t="s">
        <v>170</v>
      </c>
      <c r="AO93" t="s">
        <v>183</v>
      </c>
      <c r="AP93">
        <v>1</v>
      </c>
      <c r="AQ93" t="s">
        <v>170</v>
      </c>
      <c r="AR93" t="s">
        <v>194</v>
      </c>
      <c r="AS93" t="s">
        <v>185</v>
      </c>
      <c r="AU93">
        <v>42705</v>
      </c>
      <c r="AX93" t="s">
        <v>170</v>
      </c>
      <c r="AY93">
        <v>712</v>
      </c>
      <c r="BA93" t="s">
        <v>185</v>
      </c>
      <c r="BG93" t="s">
        <v>170</v>
      </c>
      <c r="BH93" t="s">
        <v>441</v>
      </c>
      <c r="BI93">
        <v>4</v>
      </c>
      <c r="BJ93" t="s">
        <v>211</v>
      </c>
      <c r="BK93">
        <v>0</v>
      </c>
      <c r="BN93" t="s">
        <v>677</v>
      </c>
      <c r="BO93">
        <v>24</v>
      </c>
      <c r="BP93">
        <v>1</v>
      </c>
    </row>
    <row r="94" spans="1:68" x14ac:dyDescent="0.25">
      <c r="A94" t="s">
        <v>292</v>
      </c>
      <c r="B94" s="1">
        <v>46181</v>
      </c>
      <c r="E94" t="s">
        <v>170</v>
      </c>
      <c r="F94">
        <v>0</v>
      </c>
      <c r="G94" t="s">
        <v>170</v>
      </c>
      <c r="H94">
        <v>8</v>
      </c>
      <c r="J94" t="s">
        <v>170</v>
      </c>
      <c r="L94" t="s">
        <v>187</v>
      </c>
      <c r="P94">
        <v>0</v>
      </c>
      <c r="Q94" t="s">
        <v>197</v>
      </c>
      <c r="R94" t="s">
        <v>174</v>
      </c>
      <c r="S94" t="s">
        <v>190</v>
      </c>
      <c r="T94" t="s">
        <v>191</v>
      </c>
      <c r="U94" t="s">
        <v>209</v>
      </c>
      <c r="V94" t="s">
        <v>210</v>
      </c>
      <c r="Z94" t="s">
        <v>170</v>
      </c>
      <c r="AA94">
        <v>0</v>
      </c>
      <c r="AB94" t="s">
        <v>179</v>
      </c>
      <c r="AC94" t="s">
        <v>170</v>
      </c>
      <c r="AD94" t="s">
        <v>170</v>
      </c>
      <c r="AF94" t="s">
        <v>180</v>
      </c>
      <c r="AG94" t="s">
        <v>181</v>
      </c>
      <c r="AH94" t="s">
        <v>72</v>
      </c>
      <c r="AI94" t="s">
        <v>210</v>
      </c>
      <c r="AJ94">
        <v>1</v>
      </c>
      <c r="AL94" t="s">
        <v>170</v>
      </c>
      <c r="AM94" t="s">
        <v>170</v>
      </c>
      <c r="AN94" t="s">
        <v>170</v>
      </c>
      <c r="AO94" t="s">
        <v>183</v>
      </c>
      <c r="AP94">
        <v>1</v>
      </c>
      <c r="AQ94" t="s">
        <v>170</v>
      </c>
      <c r="AR94" t="s">
        <v>184</v>
      </c>
      <c r="AS94" t="s">
        <v>185</v>
      </c>
      <c r="AU94">
        <v>44835</v>
      </c>
      <c r="AX94" t="s">
        <v>170</v>
      </c>
      <c r="AY94">
        <v>1101</v>
      </c>
      <c r="BA94" t="s">
        <v>185</v>
      </c>
      <c r="BG94" t="s">
        <v>170</v>
      </c>
      <c r="BH94" t="s">
        <v>292</v>
      </c>
      <c r="BJ94" t="s">
        <v>211</v>
      </c>
      <c r="BK94">
        <v>0</v>
      </c>
      <c r="BN94" t="s">
        <v>678</v>
      </c>
      <c r="BO94">
        <v>24</v>
      </c>
      <c r="BP94">
        <v>1</v>
      </c>
    </row>
    <row r="95" spans="1:68" x14ac:dyDescent="0.25">
      <c r="A95" t="s">
        <v>293</v>
      </c>
      <c r="B95" s="1">
        <v>46181</v>
      </c>
      <c r="E95" t="s">
        <v>170</v>
      </c>
      <c r="F95">
        <v>0</v>
      </c>
      <c r="G95" t="s">
        <v>170</v>
      </c>
      <c r="H95">
        <v>4</v>
      </c>
      <c r="J95" t="s">
        <v>170</v>
      </c>
      <c r="L95" t="s">
        <v>679</v>
      </c>
      <c r="P95">
        <v>0</v>
      </c>
      <c r="Q95" t="s">
        <v>197</v>
      </c>
      <c r="R95" t="s">
        <v>174</v>
      </c>
      <c r="S95" t="s">
        <v>190</v>
      </c>
      <c r="T95" t="s">
        <v>191</v>
      </c>
      <c r="U95" t="s">
        <v>209</v>
      </c>
      <c r="V95" t="s">
        <v>210</v>
      </c>
      <c r="Z95" t="s">
        <v>170</v>
      </c>
      <c r="AA95">
        <v>0</v>
      </c>
      <c r="AB95" t="s">
        <v>179</v>
      </c>
      <c r="AC95" t="s">
        <v>170</v>
      </c>
      <c r="AD95" t="s">
        <v>170</v>
      </c>
      <c r="AF95" t="s">
        <v>180</v>
      </c>
      <c r="AG95" t="s">
        <v>181</v>
      </c>
      <c r="AH95" t="s">
        <v>232</v>
      </c>
      <c r="AI95" t="s">
        <v>210</v>
      </c>
      <c r="AJ95">
        <v>1</v>
      </c>
      <c r="AL95" t="s">
        <v>170</v>
      </c>
      <c r="AM95" t="s">
        <v>170</v>
      </c>
      <c r="AN95" t="s">
        <v>170</v>
      </c>
      <c r="AO95" t="s">
        <v>183</v>
      </c>
      <c r="AP95">
        <v>1</v>
      </c>
      <c r="AQ95" t="s">
        <v>170</v>
      </c>
      <c r="AR95" t="s">
        <v>184</v>
      </c>
      <c r="AS95" t="s">
        <v>185</v>
      </c>
      <c r="AU95">
        <v>39265</v>
      </c>
      <c r="AX95" t="s">
        <v>170</v>
      </c>
      <c r="AY95">
        <v>91</v>
      </c>
      <c r="BA95" t="s">
        <v>185</v>
      </c>
      <c r="BG95" t="s">
        <v>170</v>
      </c>
      <c r="BH95" t="s">
        <v>293</v>
      </c>
      <c r="BI95">
        <v>1</v>
      </c>
      <c r="BJ95" t="s">
        <v>220</v>
      </c>
      <c r="BK95">
        <v>0</v>
      </c>
      <c r="BN95" t="s">
        <v>680</v>
      </c>
      <c r="BO95">
        <v>24</v>
      </c>
      <c r="BP95">
        <v>1</v>
      </c>
    </row>
    <row r="96" spans="1:68" x14ac:dyDescent="0.25">
      <c r="A96" t="s">
        <v>229</v>
      </c>
      <c r="B96" s="1">
        <v>46181</v>
      </c>
      <c r="E96" t="s">
        <v>170</v>
      </c>
      <c r="F96">
        <v>0</v>
      </c>
      <c r="G96" t="s">
        <v>170</v>
      </c>
      <c r="H96">
        <v>8</v>
      </c>
      <c r="J96" t="s">
        <v>170</v>
      </c>
      <c r="L96" t="s">
        <v>187</v>
      </c>
      <c r="P96">
        <v>0</v>
      </c>
      <c r="Q96" t="s">
        <v>197</v>
      </c>
      <c r="R96" t="s">
        <v>174</v>
      </c>
      <c r="S96" t="s">
        <v>190</v>
      </c>
      <c r="T96" t="s">
        <v>191</v>
      </c>
      <c r="U96" t="s">
        <v>209</v>
      </c>
      <c r="V96" t="s">
        <v>210</v>
      </c>
      <c r="Z96" t="s">
        <v>170</v>
      </c>
      <c r="AA96">
        <v>0</v>
      </c>
      <c r="AB96" t="s">
        <v>179</v>
      </c>
      <c r="AC96" t="s">
        <v>170</v>
      </c>
      <c r="AD96" t="s">
        <v>170</v>
      </c>
      <c r="AF96" t="s">
        <v>180</v>
      </c>
      <c r="AG96" t="s">
        <v>181</v>
      </c>
      <c r="AH96" t="s">
        <v>72</v>
      </c>
      <c r="AI96" t="s">
        <v>210</v>
      </c>
      <c r="AJ96">
        <v>1</v>
      </c>
      <c r="AL96" t="s">
        <v>170</v>
      </c>
      <c r="AM96" t="s">
        <v>170</v>
      </c>
      <c r="AN96" t="s">
        <v>170</v>
      </c>
      <c r="AO96" t="s">
        <v>183</v>
      </c>
      <c r="AP96">
        <v>1</v>
      </c>
      <c r="AQ96" t="s">
        <v>170</v>
      </c>
      <c r="AR96" t="s">
        <v>184</v>
      </c>
      <c r="AS96" t="s">
        <v>185</v>
      </c>
      <c r="AU96">
        <v>44805</v>
      </c>
      <c r="AX96" t="s">
        <v>170</v>
      </c>
      <c r="AY96">
        <v>1089</v>
      </c>
      <c r="BA96" t="s">
        <v>185</v>
      </c>
      <c r="BG96" t="s">
        <v>170</v>
      </c>
      <c r="BH96" t="s">
        <v>229</v>
      </c>
      <c r="BJ96" t="s">
        <v>211</v>
      </c>
      <c r="BK96">
        <v>0</v>
      </c>
      <c r="BN96" t="s">
        <v>681</v>
      </c>
      <c r="BO96">
        <v>24</v>
      </c>
      <c r="BP96">
        <v>1</v>
      </c>
    </row>
    <row r="97" spans="1:68" x14ac:dyDescent="0.25">
      <c r="A97" t="s">
        <v>397</v>
      </c>
      <c r="B97" s="1">
        <v>46181</v>
      </c>
      <c r="C97" t="s">
        <v>170</v>
      </c>
      <c r="D97" t="s">
        <v>170</v>
      </c>
      <c r="E97" t="s">
        <v>170</v>
      </c>
      <c r="F97">
        <v>0</v>
      </c>
      <c r="G97" t="s">
        <v>170</v>
      </c>
      <c r="H97">
        <v>7.67</v>
      </c>
      <c r="J97" t="s">
        <v>170</v>
      </c>
      <c r="L97" t="s">
        <v>208</v>
      </c>
      <c r="P97">
        <v>0</v>
      </c>
      <c r="Q97" t="s">
        <v>197</v>
      </c>
      <c r="R97" t="s">
        <v>174</v>
      </c>
      <c r="S97" t="s">
        <v>190</v>
      </c>
      <c r="T97" t="s">
        <v>191</v>
      </c>
      <c r="U97" t="s">
        <v>215</v>
      </c>
      <c r="V97" t="s">
        <v>216</v>
      </c>
      <c r="Z97" t="s">
        <v>170</v>
      </c>
      <c r="AA97">
        <v>0</v>
      </c>
      <c r="AB97" t="s">
        <v>179</v>
      </c>
      <c r="AC97" t="s">
        <v>170</v>
      </c>
      <c r="AD97" t="s">
        <v>170</v>
      </c>
      <c r="AF97" t="s">
        <v>180</v>
      </c>
      <c r="AG97" t="s">
        <v>181</v>
      </c>
      <c r="AH97" t="s">
        <v>73</v>
      </c>
      <c r="AI97" t="s">
        <v>216</v>
      </c>
      <c r="AJ97">
        <v>1</v>
      </c>
      <c r="AL97" t="s">
        <v>170</v>
      </c>
      <c r="AM97" t="s">
        <v>170</v>
      </c>
      <c r="AN97" t="s">
        <v>170</v>
      </c>
      <c r="AO97" t="s">
        <v>183</v>
      </c>
      <c r="AP97">
        <v>1</v>
      </c>
      <c r="AQ97" t="s">
        <v>170</v>
      </c>
      <c r="AR97" t="s">
        <v>194</v>
      </c>
      <c r="AS97" t="s">
        <v>185</v>
      </c>
      <c r="AU97">
        <v>40801</v>
      </c>
      <c r="AX97" t="s">
        <v>170</v>
      </c>
      <c r="AY97">
        <v>483</v>
      </c>
      <c r="BA97" t="s">
        <v>185</v>
      </c>
      <c r="BF97" t="s">
        <v>403</v>
      </c>
      <c r="BG97" t="s">
        <v>170</v>
      </c>
      <c r="BH97" t="s">
        <v>397</v>
      </c>
      <c r="BI97">
        <v>2</v>
      </c>
      <c r="BJ97" t="s">
        <v>195</v>
      </c>
      <c r="BK97">
        <v>0</v>
      </c>
      <c r="BN97" t="s">
        <v>682</v>
      </c>
      <c r="BO97">
        <v>24</v>
      </c>
      <c r="BP97">
        <v>1</v>
      </c>
    </row>
    <row r="98" spans="1:68" x14ac:dyDescent="0.25">
      <c r="A98" t="s">
        <v>683</v>
      </c>
      <c r="B98" s="1">
        <v>46181</v>
      </c>
      <c r="E98" t="s">
        <v>170</v>
      </c>
      <c r="F98">
        <v>0</v>
      </c>
      <c r="G98" t="s">
        <v>170</v>
      </c>
      <c r="H98">
        <v>7.67</v>
      </c>
      <c r="J98" t="s">
        <v>170</v>
      </c>
      <c r="L98" t="s">
        <v>171</v>
      </c>
      <c r="P98">
        <v>0</v>
      </c>
      <c r="Q98" t="s">
        <v>197</v>
      </c>
      <c r="R98" t="s">
        <v>174</v>
      </c>
      <c r="S98" t="s">
        <v>175</v>
      </c>
      <c r="T98" t="s">
        <v>176</v>
      </c>
      <c r="U98" t="s">
        <v>209</v>
      </c>
      <c r="V98" t="s">
        <v>262</v>
      </c>
      <c r="Z98" t="s">
        <v>170</v>
      </c>
      <c r="AA98">
        <v>0</v>
      </c>
      <c r="AB98" t="s">
        <v>179</v>
      </c>
      <c r="AC98" t="s">
        <v>170</v>
      </c>
      <c r="AD98" t="s">
        <v>170</v>
      </c>
      <c r="AF98" t="s">
        <v>180</v>
      </c>
      <c r="AG98" t="s">
        <v>181</v>
      </c>
      <c r="AH98" t="s">
        <v>73</v>
      </c>
      <c r="AI98" t="s">
        <v>210</v>
      </c>
      <c r="AJ98">
        <v>1</v>
      </c>
      <c r="AL98" t="s">
        <v>170</v>
      </c>
      <c r="AM98" t="s">
        <v>170</v>
      </c>
      <c r="AN98" t="s">
        <v>170</v>
      </c>
      <c r="AO98" t="s">
        <v>183</v>
      </c>
      <c r="AP98">
        <v>1</v>
      </c>
      <c r="AQ98" t="s">
        <v>170</v>
      </c>
      <c r="AR98" t="s">
        <v>184</v>
      </c>
      <c r="AS98" t="s">
        <v>185</v>
      </c>
      <c r="AU98">
        <v>45121</v>
      </c>
      <c r="AX98" t="s">
        <v>170</v>
      </c>
      <c r="AY98">
        <v>11540653</v>
      </c>
      <c r="BA98" t="s">
        <v>185</v>
      </c>
      <c r="BG98" t="s">
        <v>170</v>
      </c>
      <c r="BH98" t="s">
        <v>683</v>
      </c>
      <c r="BJ98" t="s">
        <v>195</v>
      </c>
      <c r="BK98">
        <v>0</v>
      </c>
      <c r="BN98" t="s">
        <v>684</v>
      </c>
      <c r="BO98">
        <v>24</v>
      </c>
      <c r="BP98">
        <v>1</v>
      </c>
    </row>
    <row r="99" spans="1:68" x14ac:dyDescent="0.25">
      <c r="A99" t="s">
        <v>296</v>
      </c>
      <c r="B99" s="1">
        <v>46181</v>
      </c>
      <c r="E99" t="s">
        <v>170</v>
      </c>
      <c r="F99">
        <v>0</v>
      </c>
      <c r="G99" t="s">
        <v>170</v>
      </c>
      <c r="H99">
        <v>8</v>
      </c>
      <c r="J99" t="s">
        <v>170</v>
      </c>
      <c r="L99" t="s">
        <v>187</v>
      </c>
      <c r="P99">
        <v>0</v>
      </c>
      <c r="Q99" t="s">
        <v>197</v>
      </c>
      <c r="R99" t="s">
        <v>174</v>
      </c>
      <c r="S99" t="s">
        <v>190</v>
      </c>
      <c r="T99" t="s">
        <v>191</v>
      </c>
      <c r="U99" t="s">
        <v>209</v>
      </c>
      <c r="V99" t="s">
        <v>210</v>
      </c>
      <c r="Z99" t="s">
        <v>170</v>
      </c>
      <c r="AA99">
        <v>0</v>
      </c>
      <c r="AB99" t="s">
        <v>179</v>
      </c>
      <c r="AC99" t="s">
        <v>170</v>
      </c>
      <c r="AD99" t="s">
        <v>170</v>
      </c>
      <c r="AF99" t="s">
        <v>180</v>
      </c>
      <c r="AG99" t="s">
        <v>181</v>
      </c>
      <c r="AH99" t="s">
        <v>72</v>
      </c>
      <c r="AI99" t="s">
        <v>210</v>
      </c>
      <c r="AJ99">
        <v>1</v>
      </c>
      <c r="AL99" t="s">
        <v>170</v>
      </c>
      <c r="AM99" t="s">
        <v>170</v>
      </c>
      <c r="AN99" t="s">
        <v>170</v>
      </c>
      <c r="AO99" t="s">
        <v>183</v>
      </c>
      <c r="AP99">
        <v>1</v>
      </c>
      <c r="AQ99" t="s">
        <v>170</v>
      </c>
      <c r="AR99" t="s">
        <v>184</v>
      </c>
      <c r="AS99" t="s">
        <v>185</v>
      </c>
      <c r="AU99">
        <v>43709</v>
      </c>
      <c r="AX99" t="s">
        <v>170</v>
      </c>
      <c r="AY99">
        <v>886</v>
      </c>
      <c r="BA99" t="s">
        <v>185</v>
      </c>
      <c r="BG99" t="s">
        <v>170</v>
      </c>
      <c r="BH99" t="s">
        <v>296</v>
      </c>
      <c r="BJ99" t="s">
        <v>211</v>
      </c>
      <c r="BK99">
        <v>0</v>
      </c>
      <c r="BN99" t="s">
        <v>685</v>
      </c>
      <c r="BO99">
        <v>24</v>
      </c>
      <c r="BP99">
        <v>1</v>
      </c>
    </row>
    <row r="100" spans="1:68" x14ac:dyDescent="0.25">
      <c r="A100" t="s">
        <v>297</v>
      </c>
      <c r="B100" s="1">
        <v>46181</v>
      </c>
      <c r="E100" t="s">
        <v>170</v>
      </c>
      <c r="F100">
        <v>0</v>
      </c>
      <c r="G100" t="s">
        <v>170</v>
      </c>
      <c r="H100">
        <v>8</v>
      </c>
      <c r="J100" t="s">
        <v>170</v>
      </c>
      <c r="L100" t="s">
        <v>187</v>
      </c>
      <c r="P100">
        <v>0</v>
      </c>
      <c r="Q100" t="s">
        <v>197</v>
      </c>
      <c r="R100" t="s">
        <v>174</v>
      </c>
      <c r="S100" t="s">
        <v>190</v>
      </c>
      <c r="T100" t="s">
        <v>191</v>
      </c>
      <c r="U100" t="s">
        <v>209</v>
      </c>
      <c r="V100" t="s">
        <v>210</v>
      </c>
      <c r="Z100" t="s">
        <v>170</v>
      </c>
      <c r="AA100">
        <v>0</v>
      </c>
      <c r="AB100" t="s">
        <v>179</v>
      </c>
      <c r="AC100" t="s">
        <v>170</v>
      </c>
      <c r="AD100" t="s">
        <v>170</v>
      </c>
      <c r="AF100" t="s">
        <v>180</v>
      </c>
      <c r="AG100" t="s">
        <v>181</v>
      </c>
      <c r="AH100" t="s">
        <v>72</v>
      </c>
      <c r="AI100" t="s">
        <v>210</v>
      </c>
      <c r="AJ100">
        <v>1</v>
      </c>
      <c r="AL100" t="s">
        <v>170</v>
      </c>
      <c r="AM100" t="s">
        <v>170</v>
      </c>
      <c r="AN100" t="s">
        <v>170</v>
      </c>
      <c r="AO100" t="s">
        <v>183</v>
      </c>
      <c r="AP100">
        <v>1</v>
      </c>
      <c r="AQ100" t="s">
        <v>170</v>
      </c>
      <c r="AR100" t="s">
        <v>184</v>
      </c>
      <c r="AS100" t="s">
        <v>185</v>
      </c>
      <c r="AU100">
        <v>44743</v>
      </c>
      <c r="AX100" t="s">
        <v>170</v>
      </c>
      <c r="AY100">
        <v>1061</v>
      </c>
      <c r="BA100" t="s">
        <v>185</v>
      </c>
      <c r="BG100" t="s">
        <v>170</v>
      </c>
      <c r="BH100" t="s">
        <v>297</v>
      </c>
      <c r="BJ100" t="s">
        <v>211</v>
      </c>
      <c r="BK100">
        <v>0</v>
      </c>
      <c r="BN100" t="s">
        <v>686</v>
      </c>
      <c r="BO100">
        <v>24</v>
      </c>
      <c r="BP100">
        <v>1</v>
      </c>
    </row>
    <row r="101" spans="1:68" x14ac:dyDescent="0.25">
      <c r="A101" t="s">
        <v>298</v>
      </c>
      <c r="B101" s="1">
        <v>46181</v>
      </c>
      <c r="E101" t="s">
        <v>170</v>
      </c>
      <c r="F101">
        <v>0</v>
      </c>
      <c r="G101" t="s">
        <v>170</v>
      </c>
      <c r="H101">
        <v>8</v>
      </c>
      <c r="J101" t="s">
        <v>170</v>
      </c>
      <c r="L101" t="s">
        <v>187</v>
      </c>
      <c r="P101">
        <v>0</v>
      </c>
      <c r="Q101" t="s">
        <v>197</v>
      </c>
      <c r="R101" t="s">
        <v>174</v>
      </c>
      <c r="S101" t="s">
        <v>190</v>
      </c>
      <c r="T101" t="s">
        <v>191</v>
      </c>
      <c r="U101" t="s">
        <v>209</v>
      </c>
      <c r="V101" t="s">
        <v>210</v>
      </c>
      <c r="Z101" t="s">
        <v>170</v>
      </c>
      <c r="AA101">
        <v>0</v>
      </c>
      <c r="AB101" t="s">
        <v>179</v>
      </c>
      <c r="AC101" t="s">
        <v>170</v>
      </c>
      <c r="AD101" t="s">
        <v>170</v>
      </c>
      <c r="AF101" t="s">
        <v>180</v>
      </c>
      <c r="AG101" t="s">
        <v>181</v>
      </c>
      <c r="AH101" t="s">
        <v>72</v>
      </c>
      <c r="AI101" t="s">
        <v>210</v>
      </c>
      <c r="AJ101">
        <v>1</v>
      </c>
      <c r="AL101" t="s">
        <v>170</v>
      </c>
      <c r="AM101" t="s">
        <v>170</v>
      </c>
      <c r="AN101" t="s">
        <v>170</v>
      </c>
      <c r="AO101" t="s">
        <v>183</v>
      </c>
      <c r="AP101">
        <v>1</v>
      </c>
      <c r="AQ101" t="s">
        <v>170</v>
      </c>
      <c r="AR101" t="s">
        <v>184</v>
      </c>
      <c r="AS101" t="s">
        <v>185</v>
      </c>
      <c r="AU101">
        <v>40616</v>
      </c>
      <c r="AX101" t="s">
        <v>170</v>
      </c>
      <c r="AY101">
        <v>468</v>
      </c>
      <c r="BA101" t="s">
        <v>185</v>
      </c>
      <c r="BG101" t="s">
        <v>170</v>
      </c>
      <c r="BH101" t="s">
        <v>298</v>
      </c>
      <c r="BI101">
        <v>3</v>
      </c>
      <c r="BJ101" t="s">
        <v>211</v>
      </c>
      <c r="BK101">
        <v>0</v>
      </c>
      <c r="BN101" t="s">
        <v>687</v>
      </c>
      <c r="BO101">
        <v>24</v>
      </c>
      <c r="BP101">
        <v>1</v>
      </c>
    </row>
    <row r="102" spans="1:68" x14ac:dyDescent="0.25">
      <c r="A102" t="s">
        <v>230</v>
      </c>
      <c r="B102" s="1">
        <v>46181</v>
      </c>
      <c r="E102" t="s">
        <v>170</v>
      </c>
      <c r="F102">
        <v>0</v>
      </c>
      <c r="G102" t="s">
        <v>170</v>
      </c>
      <c r="H102">
        <v>8</v>
      </c>
      <c r="J102" t="s">
        <v>170</v>
      </c>
      <c r="L102" t="s">
        <v>187</v>
      </c>
      <c r="P102">
        <v>0</v>
      </c>
      <c r="Q102" t="s">
        <v>197</v>
      </c>
      <c r="R102" t="s">
        <v>174</v>
      </c>
      <c r="S102" t="s">
        <v>190</v>
      </c>
      <c r="T102" t="s">
        <v>191</v>
      </c>
      <c r="U102" t="s">
        <v>209</v>
      </c>
      <c r="V102" t="s">
        <v>210</v>
      </c>
      <c r="Z102" t="s">
        <v>170</v>
      </c>
      <c r="AA102">
        <v>0</v>
      </c>
      <c r="AB102" t="s">
        <v>179</v>
      </c>
      <c r="AC102" t="s">
        <v>170</v>
      </c>
      <c r="AD102" t="s">
        <v>170</v>
      </c>
      <c r="AF102" t="s">
        <v>180</v>
      </c>
      <c r="AG102" t="s">
        <v>181</v>
      </c>
      <c r="AH102" t="s">
        <v>72</v>
      </c>
      <c r="AI102" t="s">
        <v>210</v>
      </c>
      <c r="AJ102">
        <v>1</v>
      </c>
      <c r="AL102" t="s">
        <v>170</v>
      </c>
      <c r="AM102" t="s">
        <v>170</v>
      </c>
      <c r="AN102" t="s">
        <v>170</v>
      </c>
      <c r="AO102" t="s">
        <v>183</v>
      </c>
      <c r="AP102">
        <v>1</v>
      </c>
      <c r="AQ102" t="s">
        <v>170</v>
      </c>
      <c r="AR102" t="s">
        <v>184</v>
      </c>
      <c r="AS102" t="s">
        <v>185</v>
      </c>
      <c r="AU102">
        <v>44501</v>
      </c>
      <c r="AX102" t="s">
        <v>170</v>
      </c>
      <c r="AY102">
        <v>992</v>
      </c>
      <c r="BA102" t="s">
        <v>185</v>
      </c>
      <c r="BG102" t="s">
        <v>170</v>
      </c>
      <c r="BH102" t="s">
        <v>230</v>
      </c>
      <c r="BJ102" t="s">
        <v>211</v>
      </c>
      <c r="BK102">
        <v>0</v>
      </c>
      <c r="BN102" t="s">
        <v>688</v>
      </c>
      <c r="BO102">
        <v>24</v>
      </c>
      <c r="BP102">
        <v>1</v>
      </c>
    </row>
    <row r="103" spans="1:68" x14ac:dyDescent="0.25">
      <c r="A103" t="s">
        <v>233</v>
      </c>
      <c r="B103" s="1">
        <v>46181</v>
      </c>
      <c r="E103" t="s">
        <v>170</v>
      </c>
      <c r="F103">
        <v>0</v>
      </c>
      <c r="G103" t="s">
        <v>170</v>
      </c>
      <c r="H103">
        <v>8</v>
      </c>
      <c r="J103" t="s">
        <v>170</v>
      </c>
      <c r="L103" t="s">
        <v>187</v>
      </c>
      <c r="P103">
        <v>0</v>
      </c>
      <c r="Q103" t="s">
        <v>197</v>
      </c>
      <c r="R103" t="s">
        <v>174</v>
      </c>
      <c r="S103" t="s">
        <v>190</v>
      </c>
      <c r="T103" t="s">
        <v>225</v>
      </c>
      <c r="U103" t="s">
        <v>209</v>
      </c>
      <c r="V103" t="s">
        <v>210</v>
      </c>
      <c r="Z103" t="s">
        <v>170</v>
      </c>
      <c r="AA103">
        <v>0</v>
      </c>
      <c r="AB103" t="s">
        <v>179</v>
      </c>
      <c r="AC103" t="s">
        <v>170</v>
      </c>
      <c r="AD103" t="s">
        <v>170</v>
      </c>
      <c r="AF103" t="s">
        <v>180</v>
      </c>
      <c r="AG103" t="s">
        <v>181</v>
      </c>
      <c r="AH103" t="s">
        <v>72</v>
      </c>
      <c r="AI103" t="s">
        <v>210</v>
      </c>
      <c r="AJ103">
        <v>1</v>
      </c>
      <c r="AL103" t="s">
        <v>170</v>
      </c>
      <c r="AM103" t="s">
        <v>170</v>
      </c>
      <c r="AN103" t="s">
        <v>170</v>
      </c>
      <c r="AO103" t="s">
        <v>183</v>
      </c>
      <c r="AP103">
        <v>1</v>
      </c>
      <c r="AQ103" t="s">
        <v>170</v>
      </c>
      <c r="AR103" t="s">
        <v>184</v>
      </c>
      <c r="AS103" t="s">
        <v>185</v>
      </c>
      <c r="AU103">
        <v>45778</v>
      </c>
      <c r="AX103" t="s">
        <v>170</v>
      </c>
      <c r="AY103">
        <v>1205</v>
      </c>
      <c r="BA103" t="s">
        <v>185</v>
      </c>
      <c r="BG103" t="s">
        <v>170</v>
      </c>
      <c r="BH103" t="s">
        <v>233</v>
      </c>
      <c r="BJ103" t="s">
        <v>211</v>
      </c>
      <c r="BK103">
        <v>0</v>
      </c>
      <c r="BN103" t="s">
        <v>689</v>
      </c>
      <c r="BO103">
        <v>24</v>
      </c>
      <c r="BP103">
        <v>1</v>
      </c>
    </row>
    <row r="104" spans="1:68" x14ac:dyDescent="0.25">
      <c r="A104" t="s">
        <v>299</v>
      </c>
      <c r="B104" s="1">
        <v>46181</v>
      </c>
      <c r="E104" t="s">
        <v>170</v>
      </c>
      <c r="F104">
        <v>0</v>
      </c>
      <c r="G104" t="s">
        <v>170</v>
      </c>
      <c r="H104">
        <v>8</v>
      </c>
      <c r="J104" t="s">
        <v>170</v>
      </c>
      <c r="L104" t="s">
        <v>187</v>
      </c>
      <c r="P104">
        <v>0</v>
      </c>
      <c r="Q104" t="s">
        <v>197</v>
      </c>
      <c r="R104" t="s">
        <v>174</v>
      </c>
      <c r="S104" t="s">
        <v>190</v>
      </c>
      <c r="T104" t="s">
        <v>191</v>
      </c>
      <c r="U104" t="s">
        <v>209</v>
      </c>
      <c r="V104" t="s">
        <v>210</v>
      </c>
      <c r="Z104" t="s">
        <v>170</v>
      </c>
      <c r="AA104">
        <v>0</v>
      </c>
      <c r="AB104" t="s">
        <v>179</v>
      </c>
      <c r="AC104" t="s">
        <v>170</v>
      </c>
      <c r="AD104" t="s">
        <v>170</v>
      </c>
      <c r="AF104" t="s">
        <v>180</v>
      </c>
      <c r="AG104" t="s">
        <v>181</v>
      </c>
      <c r="AH104" t="s">
        <v>72</v>
      </c>
      <c r="AI104" t="s">
        <v>210</v>
      </c>
      <c r="AJ104">
        <v>1</v>
      </c>
      <c r="AL104" t="s">
        <v>170</v>
      </c>
      <c r="AM104" t="s">
        <v>170</v>
      </c>
      <c r="AN104" t="s">
        <v>170</v>
      </c>
      <c r="AO104" t="s">
        <v>183</v>
      </c>
      <c r="AP104">
        <v>1</v>
      </c>
      <c r="AQ104" t="s">
        <v>170</v>
      </c>
      <c r="AR104" t="s">
        <v>184</v>
      </c>
      <c r="AS104" t="s">
        <v>185</v>
      </c>
      <c r="AU104">
        <v>40350</v>
      </c>
      <c r="AX104" t="s">
        <v>170</v>
      </c>
      <c r="AY104">
        <v>449</v>
      </c>
      <c r="BA104" t="s">
        <v>185</v>
      </c>
      <c r="BG104" t="s">
        <v>170</v>
      </c>
      <c r="BH104" t="s">
        <v>299</v>
      </c>
      <c r="BI104">
        <v>1</v>
      </c>
      <c r="BJ104" t="s">
        <v>211</v>
      </c>
      <c r="BK104">
        <v>0</v>
      </c>
      <c r="BN104" t="s">
        <v>690</v>
      </c>
      <c r="BO104">
        <v>24</v>
      </c>
      <c r="BP104">
        <v>1</v>
      </c>
    </row>
    <row r="105" spans="1:68" x14ac:dyDescent="0.25">
      <c r="A105" t="s">
        <v>300</v>
      </c>
      <c r="B105" s="1">
        <v>46181</v>
      </c>
      <c r="E105" t="s">
        <v>170</v>
      </c>
      <c r="F105">
        <v>0</v>
      </c>
      <c r="G105" t="s">
        <v>170</v>
      </c>
      <c r="H105">
        <v>7.67</v>
      </c>
      <c r="J105" t="s">
        <v>170</v>
      </c>
      <c r="L105" t="s">
        <v>208</v>
      </c>
      <c r="P105">
        <v>0</v>
      </c>
      <c r="Q105" t="s">
        <v>197</v>
      </c>
      <c r="R105" t="s">
        <v>174</v>
      </c>
      <c r="S105" t="s">
        <v>190</v>
      </c>
      <c r="T105" t="s">
        <v>191</v>
      </c>
      <c r="U105" t="s">
        <v>209</v>
      </c>
      <c r="V105" t="s">
        <v>210</v>
      </c>
      <c r="Z105" t="s">
        <v>170</v>
      </c>
      <c r="AA105">
        <v>0</v>
      </c>
      <c r="AB105" t="s">
        <v>179</v>
      </c>
      <c r="AC105" t="s">
        <v>170</v>
      </c>
      <c r="AD105" t="s">
        <v>170</v>
      </c>
      <c r="AF105" t="s">
        <v>180</v>
      </c>
      <c r="AG105" t="s">
        <v>181</v>
      </c>
      <c r="AH105" t="s">
        <v>73</v>
      </c>
      <c r="AI105" t="s">
        <v>210</v>
      </c>
      <c r="AJ105">
        <v>1</v>
      </c>
      <c r="AL105" t="s">
        <v>170</v>
      </c>
      <c r="AM105" t="s">
        <v>170</v>
      </c>
      <c r="AN105" t="s">
        <v>170</v>
      </c>
      <c r="AO105" t="s">
        <v>183</v>
      </c>
      <c r="AP105">
        <v>1</v>
      </c>
      <c r="AQ105" t="s">
        <v>170</v>
      </c>
      <c r="AR105" t="s">
        <v>184</v>
      </c>
      <c r="AS105" t="s">
        <v>185</v>
      </c>
      <c r="AU105">
        <v>44927</v>
      </c>
      <c r="AX105" t="s">
        <v>170</v>
      </c>
      <c r="AY105">
        <v>1123</v>
      </c>
      <c r="BA105" t="s">
        <v>185</v>
      </c>
      <c r="BG105" t="s">
        <v>170</v>
      </c>
      <c r="BH105" t="s">
        <v>300</v>
      </c>
      <c r="BJ105" t="s">
        <v>195</v>
      </c>
      <c r="BK105">
        <v>0</v>
      </c>
      <c r="BN105" t="s">
        <v>691</v>
      </c>
      <c r="BO105">
        <v>24</v>
      </c>
      <c r="BP105">
        <v>1</v>
      </c>
    </row>
    <row r="106" spans="1:68" x14ac:dyDescent="0.25">
      <c r="A106" t="s">
        <v>442</v>
      </c>
      <c r="B106" s="1">
        <v>46181</v>
      </c>
      <c r="E106" t="s">
        <v>170</v>
      </c>
      <c r="F106">
        <v>0</v>
      </c>
      <c r="G106" t="s">
        <v>170</v>
      </c>
      <c r="H106">
        <v>8</v>
      </c>
      <c r="J106" t="s">
        <v>170</v>
      </c>
      <c r="L106" t="s">
        <v>187</v>
      </c>
      <c r="P106">
        <v>0</v>
      </c>
      <c r="Q106" t="s">
        <v>197</v>
      </c>
      <c r="R106" t="s">
        <v>174</v>
      </c>
      <c r="S106" t="s">
        <v>190</v>
      </c>
      <c r="T106" t="s">
        <v>191</v>
      </c>
      <c r="U106" t="s">
        <v>209</v>
      </c>
      <c r="V106" t="s">
        <v>210</v>
      </c>
      <c r="Z106" t="s">
        <v>170</v>
      </c>
      <c r="AA106">
        <v>0</v>
      </c>
      <c r="AB106" t="s">
        <v>179</v>
      </c>
      <c r="AC106" t="s">
        <v>170</v>
      </c>
      <c r="AD106" t="s">
        <v>170</v>
      </c>
      <c r="AF106" t="s">
        <v>180</v>
      </c>
      <c r="AG106" t="s">
        <v>181</v>
      </c>
      <c r="AH106" t="s">
        <v>72</v>
      </c>
      <c r="AI106" t="s">
        <v>210</v>
      </c>
      <c r="AJ106">
        <v>1</v>
      </c>
      <c r="AL106" t="s">
        <v>170</v>
      </c>
      <c r="AM106" t="s">
        <v>170</v>
      </c>
      <c r="AN106" t="s">
        <v>170</v>
      </c>
      <c r="AO106" t="s">
        <v>183</v>
      </c>
      <c r="AP106">
        <v>1</v>
      </c>
      <c r="AQ106" t="s">
        <v>170</v>
      </c>
      <c r="AR106" t="s">
        <v>184</v>
      </c>
      <c r="AS106" t="s">
        <v>185</v>
      </c>
      <c r="AU106">
        <v>39335</v>
      </c>
      <c r="AX106" t="s">
        <v>170</v>
      </c>
      <c r="AY106">
        <v>252</v>
      </c>
      <c r="BA106" t="s">
        <v>185</v>
      </c>
      <c r="BG106" t="s">
        <v>170</v>
      </c>
      <c r="BH106" t="s">
        <v>442</v>
      </c>
      <c r="BI106">
        <v>2</v>
      </c>
      <c r="BJ106" t="s">
        <v>211</v>
      </c>
      <c r="BK106">
        <v>0</v>
      </c>
      <c r="BN106" t="s">
        <v>692</v>
      </c>
      <c r="BO106">
        <v>24</v>
      </c>
      <c r="BP106">
        <v>1</v>
      </c>
    </row>
    <row r="107" spans="1:68" x14ac:dyDescent="0.25">
      <c r="A107" t="s">
        <v>303</v>
      </c>
      <c r="B107" s="1">
        <v>46181</v>
      </c>
      <c r="E107" t="s">
        <v>170</v>
      </c>
      <c r="F107">
        <v>0</v>
      </c>
      <c r="G107" t="s">
        <v>170</v>
      </c>
      <c r="H107">
        <v>8</v>
      </c>
      <c r="J107" t="s">
        <v>170</v>
      </c>
      <c r="L107" t="s">
        <v>187</v>
      </c>
      <c r="P107">
        <v>0</v>
      </c>
      <c r="Q107" t="s">
        <v>197</v>
      </c>
      <c r="R107" t="s">
        <v>174</v>
      </c>
      <c r="S107" t="s">
        <v>190</v>
      </c>
      <c r="T107" t="s">
        <v>191</v>
      </c>
      <c r="U107" t="s">
        <v>215</v>
      </c>
      <c r="V107" t="s">
        <v>216</v>
      </c>
      <c r="Z107" t="s">
        <v>170</v>
      </c>
      <c r="AA107">
        <v>0</v>
      </c>
      <c r="AB107" t="s">
        <v>179</v>
      </c>
      <c r="AC107" t="s">
        <v>170</v>
      </c>
      <c r="AD107" t="s">
        <v>170</v>
      </c>
      <c r="AF107" t="s">
        <v>180</v>
      </c>
      <c r="AG107" t="s">
        <v>181</v>
      </c>
      <c r="AH107" t="s">
        <v>72</v>
      </c>
      <c r="AI107" t="s">
        <v>216</v>
      </c>
      <c r="AJ107">
        <v>1</v>
      </c>
      <c r="AL107" t="s">
        <v>170</v>
      </c>
      <c r="AM107" t="s">
        <v>170</v>
      </c>
      <c r="AN107" t="s">
        <v>170</v>
      </c>
      <c r="AO107" t="s">
        <v>183</v>
      </c>
      <c r="AP107">
        <v>1</v>
      </c>
      <c r="AQ107" t="s">
        <v>170</v>
      </c>
      <c r="AR107" t="s">
        <v>194</v>
      </c>
      <c r="AS107" t="s">
        <v>185</v>
      </c>
      <c r="AU107">
        <v>43344</v>
      </c>
      <c r="AX107" t="s">
        <v>170</v>
      </c>
      <c r="AY107">
        <v>837</v>
      </c>
      <c r="BA107" t="s">
        <v>185</v>
      </c>
      <c r="BG107" t="s">
        <v>170</v>
      </c>
      <c r="BH107" t="s">
        <v>303</v>
      </c>
      <c r="BJ107" t="s">
        <v>211</v>
      </c>
      <c r="BK107">
        <v>0</v>
      </c>
      <c r="BN107" t="s">
        <v>693</v>
      </c>
      <c r="BO107">
        <v>24</v>
      </c>
      <c r="BP107">
        <v>1</v>
      </c>
    </row>
    <row r="108" spans="1:68" x14ac:dyDescent="0.25">
      <c r="A108" t="s">
        <v>236</v>
      </c>
      <c r="B108" s="1">
        <v>46181</v>
      </c>
      <c r="E108" t="s">
        <v>170</v>
      </c>
      <c r="F108">
        <v>0</v>
      </c>
      <c r="G108" t="s">
        <v>170</v>
      </c>
      <c r="H108">
        <v>7.67</v>
      </c>
      <c r="J108" t="s">
        <v>170</v>
      </c>
      <c r="L108" t="s">
        <v>208</v>
      </c>
      <c r="P108">
        <v>0</v>
      </c>
      <c r="Q108" t="s">
        <v>197</v>
      </c>
      <c r="R108" t="s">
        <v>174</v>
      </c>
      <c r="S108" t="s">
        <v>190</v>
      </c>
      <c r="T108" t="s">
        <v>225</v>
      </c>
      <c r="U108" t="s">
        <v>209</v>
      </c>
      <c r="V108" t="s">
        <v>210</v>
      </c>
      <c r="Z108" t="s">
        <v>170</v>
      </c>
      <c r="AA108">
        <v>0</v>
      </c>
      <c r="AB108" t="s">
        <v>179</v>
      </c>
      <c r="AC108" t="s">
        <v>170</v>
      </c>
      <c r="AD108" t="s">
        <v>170</v>
      </c>
      <c r="AF108" t="s">
        <v>180</v>
      </c>
      <c r="AG108" t="s">
        <v>181</v>
      </c>
      <c r="AH108" t="s">
        <v>73</v>
      </c>
      <c r="AI108" t="s">
        <v>210</v>
      </c>
      <c r="AJ108">
        <v>1</v>
      </c>
      <c r="AL108" t="s">
        <v>170</v>
      </c>
      <c r="AM108" t="s">
        <v>170</v>
      </c>
      <c r="AN108" t="s">
        <v>170</v>
      </c>
      <c r="AO108" t="s">
        <v>183</v>
      </c>
      <c r="AP108">
        <v>1</v>
      </c>
      <c r="AQ108" t="s">
        <v>170</v>
      </c>
      <c r="AR108" t="s">
        <v>184</v>
      </c>
      <c r="AS108" t="s">
        <v>185</v>
      </c>
      <c r="AU108">
        <v>45719</v>
      </c>
      <c r="AX108" t="s">
        <v>170</v>
      </c>
      <c r="AY108">
        <v>1195</v>
      </c>
      <c r="BA108" t="s">
        <v>185</v>
      </c>
      <c r="BG108" t="s">
        <v>170</v>
      </c>
      <c r="BH108" t="s">
        <v>236</v>
      </c>
      <c r="BJ108" t="s">
        <v>195</v>
      </c>
      <c r="BK108">
        <v>0</v>
      </c>
      <c r="BN108" t="s">
        <v>694</v>
      </c>
      <c r="BO108">
        <v>24</v>
      </c>
      <c r="BP108">
        <v>1</v>
      </c>
    </row>
    <row r="109" spans="1:68" x14ac:dyDescent="0.25">
      <c r="A109" t="s">
        <v>304</v>
      </c>
      <c r="B109" s="1">
        <v>46181</v>
      </c>
      <c r="C109">
        <v>2</v>
      </c>
      <c r="D109" t="s">
        <v>203</v>
      </c>
      <c r="F109">
        <v>0</v>
      </c>
      <c r="G109" t="s">
        <v>170</v>
      </c>
      <c r="H109">
        <v>7.6</v>
      </c>
      <c r="J109" t="s">
        <v>170</v>
      </c>
      <c r="L109" t="s">
        <v>219</v>
      </c>
      <c r="P109">
        <v>2</v>
      </c>
      <c r="Q109" t="s">
        <v>197</v>
      </c>
      <c r="R109" t="s">
        <v>174</v>
      </c>
      <c r="S109" t="s">
        <v>190</v>
      </c>
      <c r="T109" t="s">
        <v>191</v>
      </c>
      <c r="U109" t="s">
        <v>209</v>
      </c>
      <c r="V109" t="s">
        <v>210</v>
      </c>
      <c r="Z109" t="s">
        <v>170</v>
      </c>
      <c r="AA109">
        <v>0.3</v>
      </c>
      <c r="AB109" t="s">
        <v>179</v>
      </c>
      <c r="AC109" t="s">
        <v>170</v>
      </c>
      <c r="AD109" t="s">
        <v>170</v>
      </c>
      <c r="AF109" t="s">
        <v>180</v>
      </c>
      <c r="AG109" t="s">
        <v>181</v>
      </c>
      <c r="AH109" t="s">
        <v>220</v>
      </c>
      <c r="AI109" t="s">
        <v>210</v>
      </c>
      <c r="AJ109">
        <v>1</v>
      </c>
      <c r="AK109" t="s">
        <v>204</v>
      </c>
      <c r="AL109" t="s">
        <v>170</v>
      </c>
      <c r="AM109" t="s">
        <v>170</v>
      </c>
      <c r="AN109" t="s">
        <v>170</v>
      </c>
      <c r="AO109" t="s">
        <v>183</v>
      </c>
      <c r="AP109">
        <v>1</v>
      </c>
      <c r="AQ109" t="s">
        <v>170</v>
      </c>
      <c r="AR109" t="s">
        <v>184</v>
      </c>
      <c r="AS109" t="s">
        <v>185</v>
      </c>
      <c r="AU109">
        <v>44774</v>
      </c>
      <c r="AX109" t="s">
        <v>170</v>
      </c>
      <c r="AY109">
        <v>1049</v>
      </c>
      <c r="BA109" t="s">
        <v>185</v>
      </c>
      <c r="BD109" t="s">
        <v>301</v>
      </c>
      <c r="BE109">
        <v>7.6</v>
      </c>
      <c r="BF109" t="s">
        <v>302</v>
      </c>
      <c r="BG109" t="s">
        <v>301</v>
      </c>
      <c r="BH109" t="s">
        <v>304</v>
      </c>
      <c r="BJ109" t="s">
        <v>211</v>
      </c>
      <c r="BK109">
        <v>0</v>
      </c>
      <c r="BN109" t="s">
        <v>695</v>
      </c>
      <c r="BO109">
        <v>24</v>
      </c>
      <c r="BP109">
        <v>1</v>
      </c>
    </row>
    <row r="110" spans="1:68" x14ac:dyDescent="0.25">
      <c r="A110" t="s">
        <v>307</v>
      </c>
      <c r="B110" s="1">
        <v>46181</v>
      </c>
      <c r="E110" t="s">
        <v>170</v>
      </c>
      <c r="F110">
        <v>0</v>
      </c>
      <c r="G110" t="s">
        <v>170</v>
      </c>
      <c r="H110">
        <v>8</v>
      </c>
      <c r="J110" t="s">
        <v>170</v>
      </c>
      <c r="L110" t="s">
        <v>187</v>
      </c>
      <c r="P110">
        <v>0</v>
      </c>
      <c r="Q110" t="s">
        <v>197</v>
      </c>
      <c r="R110" t="s">
        <v>174</v>
      </c>
      <c r="S110" t="s">
        <v>190</v>
      </c>
      <c r="T110" t="s">
        <v>191</v>
      </c>
      <c r="U110" t="s">
        <v>209</v>
      </c>
      <c r="V110" t="s">
        <v>210</v>
      </c>
      <c r="Z110" t="s">
        <v>170</v>
      </c>
      <c r="AA110">
        <v>0</v>
      </c>
      <c r="AB110" t="s">
        <v>179</v>
      </c>
      <c r="AC110" t="s">
        <v>170</v>
      </c>
      <c r="AD110" t="s">
        <v>170</v>
      </c>
      <c r="AF110" t="s">
        <v>180</v>
      </c>
      <c r="AG110" t="s">
        <v>181</v>
      </c>
      <c r="AH110" t="s">
        <v>72</v>
      </c>
      <c r="AI110" t="s">
        <v>210</v>
      </c>
      <c r="AJ110">
        <v>1</v>
      </c>
      <c r="AL110" t="s">
        <v>170</v>
      </c>
      <c r="AM110" t="s">
        <v>170</v>
      </c>
      <c r="AN110" t="s">
        <v>170</v>
      </c>
      <c r="AO110" t="s">
        <v>183</v>
      </c>
      <c r="AP110">
        <v>1</v>
      </c>
      <c r="AQ110" t="s">
        <v>170</v>
      </c>
      <c r="AR110" t="s">
        <v>184</v>
      </c>
      <c r="AS110" t="s">
        <v>185</v>
      </c>
      <c r="AU110">
        <v>44805</v>
      </c>
      <c r="AX110" t="s">
        <v>170</v>
      </c>
      <c r="AY110">
        <v>1093</v>
      </c>
      <c r="BA110" t="s">
        <v>185</v>
      </c>
      <c r="BG110" t="s">
        <v>170</v>
      </c>
      <c r="BH110" t="s">
        <v>307</v>
      </c>
      <c r="BJ110" t="s">
        <v>211</v>
      </c>
      <c r="BK110">
        <v>0</v>
      </c>
      <c r="BN110" t="s">
        <v>696</v>
      </c>
      <c r="BO110">
        <v>24</v>
      </c>
      <c r="BP110">
        <v>1</v>
      </c>
    </row>
    <row r="111" spans="1:68" x14ac:dyDescent="0.25">
      <c r="A111" t="s">
        <v>313</v>
      </c>
      <c r="B111" s="1">
        <v>46181</v>
      </c>
      <c r="E111" t="s">
        <v>170</v>
      </c>
      <c r="F111">
        <v>0</v>
      </c>
      <c r="G111" t="s">
        <v>170</v>
      </c>
      <c r="H111">
        <v>7.67</v>
      </c>
      <c r="J111" t="s">
        <v>170</v>
      </c>
      <c r="L111" t="s">
        <v>208</v>
      </c>
      <c r="P111">
        <v>0</v>
      </c>
      <c r="Q111" t="s">
        <v>197</v>
      </c>
      <c r="R111" t="s">
        <v>174</v>
      </c>
      <c r="S111" t="s">
        <v>190</v>
      </c>
      <c r="T111" t="s">
        <v>191</v>
      </c>
      <c r="U111" t="s">
        <v>198</v>
      </c>
      <c r="V111" t="s">
        <v>199</v>
      </c>
      <c r="Z111" t="s">
        <v>170</v>
      </c>
      <c r="AA111">
        <v>0</v>
      </c>
      <c r="AB111" t="s">
        <v>179</v>
      </c>
      <c r="AC111" t="s">
        <v>170</v>
      </c>
      <c r="AD111" t="s">
        <v>170</v>
      </c>
      <c r="AF111" t="s">
        <v>180</v>
      </c>
      <c r="AG111" t="s">
        <v>181</v>
      </c>
      <c r="AH111" t="s">
        <v>73</v>
      </c>
      <c r="AI111" t="s">
        <v>199</v>
      </c>
      <c r="AJ111">
        <v>1</v>
      </c>
      <c r="AL111" t="s">
        <v>170</v>
      </c>
      <c r="AM111" t="s">
        <v>170</v>
      </c>
      <c r="AN111" t="s">
        <v>170</v>
      </c>
      <c r="AO111" t="s">
        <v>183</v>
      </c>
      <c r="AP111">
        <v>1</v>
      </c>
      <c r="AQ111" t="s">
        <v>170</v>
      </c>
      <c r="AR111" t="s">
        <v>222</v>
      </c>
      <c r="AS111" t="s">
        <v>185</v>
      </c>
      <c r="AU111">
        <v>43800</v>
      </c>
      <c r="AX111" t="s">
        <v>170</v>
      </c>
      <c r="AY111">
        <v>903</v>
      </c>
      <c r="BA111" t="s">
        <v>185</v>
      </c>
      <c r="BG111" t="s">
        <v>170</v>
      </c>
      <c r="BH111" t="s">
        <v>313</v>
      </c>
      <c r="BJ111" t="s">
        <v>195</v>
      </c>
      <c r="BK111">
        <v>0</v>
      </c>
      <c r="BN111" t="s">
        <v>697</v>
      </c>
      <c r="BO111">
        <v>24</v>
      </c>
      <c r="BP111">
        <v>1</v>
      </c>
    </row>
    <row r="112" spans="1:68" x14ac:dyDescent="0.25">
      <c r="A112" t="s">
        <v>243</v>
      </c>
      <c r="B112" s="1">
        <v>46181</v>
      </c>
      <c r="E112" t="s">
        <v>170</v>
      </c>
      <c r="F112">
        <v>0</v>
      </c>
      <c r="G112" t="s">
        <v>170</v>
      </c>
      <c r="H112">
        <v>7.67</v>
      </c>
      <c r="J112" t="s">
        <v>170</v>
      </c>
      <c r="L112" t="s">
        <v>208</v>
      </c>
      <c r="P112">
        <v>0</v>
      </c>
      <c r="Q112" t="s">
        <v>197</v>
      </c>
      <c r="R112" t="s">
        <v>174</v>
      </c>
      <c r="S112" t="s">
        <v>190</v>
      </c>
      <c r="T112" t="s">
        <v>191</v>
      </c>
      <c r="U112" t="s">
        <v>198</v>
      </c>
      <c r="V112" t="s">
        <v>199</v>
      </c>
      <c r="Z112" t="s">
        <v>170</v>
      </c>
      <c r="AA112">
        <v>0</v>
      </c>
      <c r="AB112" t="s">
        <v>179</v>
      </c>
      <c r="AC112" t="s">
        <v>170</v>
      </c>
      <c r="AD112" t="s">
        <v>170</v>
      </c>
      <c r="AF112" t="s">
        <v>180</v>
      </c>
      <c r="AG112" t="s">
        <v>181</v>
      </c>
      <c r="AH112" t="s">
        <v>73</v>
      </c>
      <c r="AI112" t="s">
        <v>199</v>
      </c>
      <c r="AJ112">
        <v>1</v>
      </c>
      <c r="AL112" t="s">
        <v>170</v>
      </c>
      <c r="AM112" t="s">
        <v>170</v>
      </c>
      <c r="AN112" t="s">
        <v>170</v>
      </c>
      <c r="AO112" t="s">
        <v>183</v>
      </c>
      <c r="AP112">
        <v>1</v>
      </c>
      <c r="AQ112" t="s">
        <v>170</v>
      </c>
      <c r="AR112" t="s">
        <v>222</v>
      </c>
      <c r="AS112" t="s">
        <v>185</v>
      </c>
      <c r="AU112">
        <v>43556</v>
      </c>
      <c r="AX112" t="s">
        <v>170</v>
      </c>
      <c r="AY112">
        <v>865</v>
      </c>
      <c r="BA112" t="s">
        <v>185</v>
      </c>
      <c r="BG112" t="s">
        <v>170</v>
      </c>
      <c r="BH112" t="s">
        <v>243</v>
      </c>
      <c r="BJ112" t="s">
        <v>195</v>
      </c>
      <c r="BK112">
        <v>0</v>
      </c>
      <c r="BN112" t="s">
        <v>698</v>
      </c>
      <c r="BO112">
        <v>24</v>
      </c>
      <c r="BP112">
        <v>1</v>
      </c>
    </row>
    <row r="113" spans="1:68" x14ac:dyDescent="0.25">
      <c r="A113" t="s">
        <v>699</v>
      </c>
      <c r="B113" s="1">
        <v>46181</v>
      </c>
      <c r="E113" t="s">
        <v>170</v>
      </c>
      <c r="F113">
        <v>0</v>
      </c>
      <c r="G113" t="s">
        <v>170</v>
      </c>
      <c r="H113">
        <v>8</v>
      </c>
      <c r="J113" t="s">
        <v>170</v>
      </c>
      <c r="L113" t="s">
        <v>187</v>
      </c>
      <c r="P113">
        <v>0</v>
      </c>
      <c r="Q113" t="s">
        <v>197</v>
      </c>
      <c r="R113" t="s">
        <v>174</v>
      </c>
      <c r="S113" t="s">
        <v>190</v>
      </c>
      <c r="T113" t="s">
        <v>191</v>
      </c>
      <c r="U113" t="s">
        <v>209</v>
      </c>
      <c r="V113" t="s">
        <v>210</v>
      </c>
      <c r="Z113" t="s">
        <v>170</v>
      </c>
      <c r="AA113">
        <v>0</v>
      </c>
      <c r="AB113" t="s">
        <v>179</v>
      </c>
      <c r="AC113" t="s">
        <v>170</v>
      </c>
      <c r="AD113" t="s">
        <v>170</v>
      </c>
      <c r="AF113" t="s">
        <v>180</v>
      </c>
      <c r="AG113" t="s">
        <v>181</v>
      </c>
      <c r="AH113" t="s">
        <v>72</v>
      </c>
      <c r="AI113" t="s">
        <v>210</v>
      </c>
      <c r="AJ113">
        <v>1</v>
      </c>
      <c r="AL113" t="s">
        <v>170</v>
      </c>
      <c r="AM113" t="s">
        <v>170</v>
      </c>
      <c r="AN113" t="s">
        <v>170</v>
      </c>
      <c r="AO113" t="s">
        <v>183</v>
      </c>
      <c r="AP113">
        <v>1</v>
      </c>
      <c r="AQ113" t="s">
        <v>170</v>
      </c>
      <c r="AR113" t="s">
        <v>184</v>
      </c>
      <c r="AS113" t="s">
        <v>185</v>
      </c>
      <c r="AU113">
        <v>44774</v>
      </c>
      <c r="AX113" t="s">
        <v>170</v>
      </c>
      <c r="AY113">
        <v>1077</v>
      </c>
      <c r="BA113" t="s">
        <v>185</v>
      </c>
      <c r="BG113" t="s">
        <v>170</v>
      </c>
      <c r="BH113" t="s">
        <v>699</v>
      </c>
      <c r="BJ113" t="s">
        <v>211</v>
      </c>
      <c r="BK113">
        <v>0</v>
      </c>
      <c r="BN113" t="s">
        <v>700</v>
      </c>
      <c r="BO113">
        <v>24</v>
      </c>
      <c r="BP113">
        <v>1</v>
      </c>
    </row>
    <row r="114" spans="1:68" x14ac:dyDescent="0.25">
      <c r="A114" t="s">
        <v>318</v>
      </c>
      <c r="B114" s="1">
        <v>46181</v>
      </c>
      <c r="C114">
        <v>3.6</v>
      </c>
      <c r="D114" t="s">
        <v>319</v>
      </c>
      <c r="E114" t="s">
        <v>170</v>
      </c>
      <c r="F114">
        <v>0</v>
      </c>
      <c r="G114" t="s">
        <v>170</v>
      </c>
      <c r="H114">
        <v>7.6</v>
      </c>
      <c r="J114" t="s">
        <v>170</v>
      </c>
      <c r="L114" t="s">
        <v>285</v>
      </c>
      <c r="P114">
        <v>3.6</v>
      </c>
      <c r="Q114" t="s">
        <v>197</v>
      </c>
      <c r="R114" t="s">
        <v>174</v>
      </c>
      <c r="S114" t="s">
        <v>190</v>
      </c>
      <c r="T114" t="s">
        <v>191</v>
      </c>
      <c r="U114" t="s">
        <v>209</v>
      </c>
      <c r="V114" t="s">
        <v>210</v>
      </c>
      <c r="Z114" t="s">
        <v>170</v>
      </c>
      <c r="AA114">
        <v>0.5</v>
      </c>
      <c r="AB114" t="s">
        <v>179</v>
      </c>
      <c r="AC114" t="s">
        <v>170</v>
      </c>
      <c r="AD114" t="s">
        <v>170</v>
      </c>
      <c r="AF114" t="s">
        <v>180</v>
      </c>
      <c r="AG114" t="s">
        <v>181</v>
      </c>
      <c r="AH114" t="s">
        <v>232</v>
      </c>
      <c r="AI114" t="s">
        <v>210</v>
      </c>
      <c r="AJ114">
        <v>1</v>
      </c>
      <c r="AK114" t="s">
        <v>245</v>
      </c>
      <c r="AL114" t="s">
        <v>170</v>
      </c>
      <c r="AM114" t="s">
        <v>170</v>
      </c>
      <c r="AN114" t="s">
        <v>170</v>
      </c>
      <c r="AO114" t="s">
        <v>183</v>
      </c>
      <c r="AP114">
        <v>1</v>
      </c>
      <c r="AQ114" t="s">
        <v>170</v>
      </c>
      <c r="AR114" t="s">
        <v>184</v>
      </c>
      <c r="AS114" t="s">
        <v>185</v>
      </c>
      <c r="AU114">
        <v>44986</v>
      </c>
      <c r="AX114" t="s">
        <v>170</v>
      </c>
      <c r="AY114">
        <v>1134</v>
      </c>
      <c r="BA114" t="s">
        <v>185</v>
      </c>
      <c r="BG114" t="s">
        <v>170</v>
      </c>
      <c r="BH114" t="s">
        <v>318</v>
      </c>
      <c r="BJ114" t="s">
        <v>211</v>
      </c>
      <c r="BK114">
        <v>0</v>
      </c>
      <c r="BN114" t="s">
        <v>701</v>
      </c>
      <c r="BO114">
        <v>24</v>
      </c>
      <c r="BP114">
        <v>1</v>
      </c>
    </row>
    <row r="115" spans="1:68" x14ac:dyDescent="0.25">
      <c r="A115" t="s">
        <v>320</v>
      </c>
      <c r="B115" s="1">
        <v>46181</v>
      </c>
      <c r="E115" t="s">
        <v>170</v>
      </c>
      <c r="F115">
        <v>0</v>
      </c>
      <c r="G115" t="s">
        <v>170</v>
      </c>
      <c r="H115">
        <v>8</v>
      </c>
      <c r="J115" t="s">
        <v>170</v>
      </c>
      <c r="L115" t="s">
        <v>187</v>
      </c>
      <c r="P115">
        <v>0</v>
      </c>
      <c r="Q115" t="s">
        <v>197</v>
      </c>
      <c r="R115" t="s">
        <v>174</v>
      </c>
      <c r="S115" t="s">
        <v>190</v>
      </c>
      <c r="T115" t="s">
        <v>191</v>
      </c>
      <c r="U115" t="s">
        <v>215</v>
      </c>
      <c r="V115" t="s">
        <v>216</v>
      </c>
      <c r="Z115" t="s">
        <v>170</v>
      </c>
      <c r="AA115">
        <v>0</v>
      </c>
      <c r="AB115" t="s">
        <v>179</v>
      </c>
      <c r="AC115" t="s">
        <v>170</v>
      </c>
      <c r="AD115" t="s">
        <v>170</v>
      </c>
      <c r="AF115" t="s">
        <v>180</v>
      </c>
      <c r="AG115" t="s">
        <v>181</v>
      </c>
      <c r="AH115" t="s">
        <v>72</v>
      </c>
      <c r="AI115" t="s">
        <v>216</v>
      </c>
      <c r="AJ115">
        <v>1</v>
      </c>
      <c r="AL115" t="s">
        <v>170</v>
      </c>
      <c r="AM115" t="s">
        <v>170</v>
      </c>
      <c r="AN115" t="s">
        <v>170</v>
      </c>
      <c r="AO115" t="s">
        <v>183</v>
      </c>
      <c r="AP115">
        <v>1</v>
      </c>
      <c r="AQ115" t="s">
        <v>170</v>
      </c>
      <c r="AR115" t="s">
        <v>194</v>
      </c>
      <c r="AS115" t="s">
        <v>185</v>
      </c>
      <c r="AU115">
        <v>42522</v>
      </c>
      <c r="AX115" t="s">
        <v>170</v>
      </c>
      <c r="AY115">
        <v>662</v>
      </c>
      <c r="BA115" t="s">
        <v>185</v>
      </c>
      <c r="BG115" t="s">
        <v>170</v>
      </c>
      <c r="BH115" t="s">
        <v>320</v>
      </c>
      <c r="BI115">
        <v>2</v>
      </c>
      <c r="BJ115" t="s">
        <v>211</v>
      </c>
      <c r="BK115">
        <v>0</v>
      </c>
      <c r="BN115" t="s">
        <v>702</v>
      </c>
      <c r="BO115">
        <v>24</v>
      </c>
      <c r="BP115">
        <v>1</v>
      </c>
    </row>
    <row r="116" spans="1:68" x14ac:dyDescent="0.25">
      <c r="A116" t="s">
        <v>321</v>
      </c>
      <c r="B116" s="1">
        <v>46181</v>
      </c>
      <c r="E116" t="s">
        <v>170</v>
      </c>
      <c r="F116">
        <v>0</v>
      </c>
      <c r="G116" t="s">
        <v>170</v>
      </c>
      <c r="H116">
        <v>7.6</v>
      </c>
      <c r="J116" t="s">
        <v>170</v>
      </c>
      <c r="L116" t="s">
        <v>219</v>
      </c>
      <c r="P116">
        <v>0</v>
      </c>
      <c r="Q116" t="s">
        <v>197</v>
      </c>
      <c r="R116" t="s">
        <v>174</v>
      </c>
      <c r="S116" t="s">
        <v>190</v>
      </c>
      <c r="T116" t="s">
        <v>191</v>
      </c>
      <c r="U116" t="s">
        <v>209</v>
      </c>
      <c r="V116" t="s">
        <v>210</v>
      </c>
      <c r="Z116" t="s">
        <v>170</v>
      </c>
      <c r="AA116">
        <v>0</v>
      </c>
      <c r="AB116" t="s">
        <v>179</v>
      </c>
      <c r="AC116" t="s">
        <v>170</v>
      </c>
      <c r="AD116" t="s">
        <v>170</v>
      </c>
      <c r="AF116" t="s">
        <v>180</v>
      </c>
      <c r="AG116" t="s">
        <v>181</v>
      </c>
      <c r="AH116" t="s">
        <v>220</v>
      </c>
      <c r="AI116" t="s">
        <v>210</v>
      </c>
      <c r="AJ116">
        <v>1</v>
      </c>
      <c r="AL116" t="s">
        <v>170</v>
      </c>
      <c r="AM116" t="s">
        <v>170</v>
      </c>
      <c r="AN116" t="s">
        <v>170</v>
      </c>
      <c r="AO116" t="s">
        <v>183</v>
      </c>
      <c r="AP116">
        <v>1</v>
      </c>
      <c r="AQ116" t="s">
        <v>170</v>
      </c>
      <c r="AR116" t="s">
        <v>184</v>
      </c>
      <c r="AS116" t="s">
        <v>185</v>
      </c>
      <c r="AU116">
        <v>44409</v>
      </c>
      <c r="AX116" t="s">
        <v>170</v>
      </c>
      <c r="AY116">
        <v>945</v>
      </c>
      <c r="BA116" t="s">
        <v>185</v>
      </c>
      <c r="BG116" t="s">
        <v>170</v>
      </c>
      <c r="BH116" t="s">
        <v>321</v>
      </c>
      <c r="BJ116" t="s">
        <v>211</v>
      </c>
      <c r="BK116">
        <v>0</v>
      </c>
      <c r="BN116" t="s">
        <v>703</v>
      </c>
      <c r="BO116">
        <v>24</v>
      </c>
      <c r="BP116">
        <v>1</v>
      </c>
    </row>
    <row r="117" spans="1:68" x14ac:dyDescent="0.25">
      <c r="A117" t="s">
        <v>444</v>
      </c>
      <c r="B117" s="1">
        <v>46181</v>
      </c>
      <c r="E117" t="s">
        <v>170</v>
      </c>
      <c r="F117">
        <v>0</v>
      </c>
      <c r="G117" t="s">
        <v>170</v>
      </c>
      <c r="H117">
        <v>4</v>
      </c>
      <c r="J117" t="s">
        <v>170</v>
      </c>
      <c r="L117" t="s">
        <v>445</v>
      </c>
      <c r="P117">
        <v>0</v>
      </c>
      <c r="Q117" t="s">
        <v>197</v>
      </c>
      <c r="R117" t="s">
        <v>174</v>
      </c>
      <c r="S117" t="s">
        <v>190</v>
      </c>
      <c r="T117" t="s">
        <v>191</v>
      </c>
      <c r="U117" t="s">
        <v>209</v>
      </c>
      <c r="V117" t="s">
        <v>210</v>
      </c>
      <c r="Z117" t="s">
        <v>170</v>
      </c>
      <c r="AA117">
        <v>0</v>
      </c>
      <c r="AB117" t="s">
        <v>179</v>
      </c>
      <c r="AC117" t="s">
        <v>170</v>
      </c>
      <c r="AD117" t="s">
        <v>170</v>
      </c>
      <c r="AF117" t="s">
        <v>180</v>
      </c>
      <c r="AG117" t="s">
        <v>181</v>
      </c>
      <c r="AH117" t="s">
        <v>232</v>
      </c>
      <c r="AI117" t="s">
        <v>210</v>
      </c>
      <c r="AJ117">
        <v>1</v>
      </c>
      <c r="AL117" t="s">
        <v>170</v>
      </c>
      <c r="AM117" t="s">
        <v>170</v>
      </c>
      <c r="AN117" t="s">
        <v>170</v>
      </c>
      <c r="AO117" t="s">
        <v>183</v>
      </c>
      <c r="AP117">
        <v>1</v>
      </c>
      <c r="AQ117" t="s">
        <v>170</v>
      </c>
      <c r="AR117" t="s">
        <v>184</v>
      </c>
      <c r="AS117" t="s">
        <v>185</v>
      </c>
      <c r="AU117">
        <v>40483</v>
      </c>
      <c r="AX117" t="s">
        <v>170</v>
      </c>
      <c r="AY117">
        <v>460</v>
      </c>
      <c r="BA117" t="s">
        <v>185</v>
      </c>
      <c r="BG117" t="s">
        <v>170</v>
      </c>
      <c r="BH117" t="s">
        <v>444</v>
      </c>
      <c r="BI117">
        <v>2</v>
      </c>
      <c r="BJ117" t="s">
        <v>220</v>
      </c>
      <c r="BK117">
        <v>0</v>
      </c>
      <c r="BN117" t="s">
        <v>704</v>
      </c>
      <c r="BO117">
        <v>24</v>
      </c>
      <c r="BP117">
        <v>1</v>
      </c>
    </row>
    <row r="118" spans="1:68" x14ac:dyDescent="0.25">
      <c r="A118" t="s">
        <v>323</v>
      </c>
      <c r="B118" s="1">
        <v>46181</v>
      </c>
      <c r="E118" t="s">
        <v>170</v>
      </c>
      <c r="F118">
        <v>0</v>
      </c>
      <c r="G118" t="s">
        <v>170</v>
      </c>
      <c r="H118">
        <v>7.67</v>
      </c>
      <c r="J118" t="s">
        <v>170</v>
      </c>
      <c r="L118" t="s">
        <v>208</v>
      </c>
      <c r="P118">
        <v>0</v>
      </c>
      <c r="Q118" t="s">
        <v>197</v>
      </c>
      <c r="R118" t="s">
        <v>174</v>
      </c>
      <c r="S118" t="s">
        <v>190</v>
      </c>
      <c r="T118" t="s">
        <v>191</v>
      </c>
      <c r="U118" t="s">
        <v>209</v>
      </c>
      <c r="V118" t="s">
        <v>210</v>
      </c>
      <c r="Z118" t="s">
        <v>170</v>
      </c>
      <c r="AA118">
        <v>0</v>
      </c>
      <c r="AB118" t="s">
        <v>179</v>
      </c>
      <c r="AC118" t="s">
        <v>170</v>
      </c>
      <c r="AD118" t="s">
        <v>170</v>
      </c>
      <c r="AF118" t="s">
        <v>180</v>
      </c>
      <c r="AG118" t="s">
        <v>181</v>
      </c>
      <c r="AH118" t="s">
        <v>73</v>
      </c>
      <c r="AI118" t="s">
        <v>210</v>
      </c>
      <c r="AJ118">
        <v>1</v>
      </c>
      <c r="AL118" t="s">
        <v>170</v>
      </c>
      <c r="AM118" t="s">
        <v>170</v>
      </c>
      <c r="AN118" t="s">
        <v>170</v>
      </c>
      <c r="AO118" t="s">
        <v>183</v>
      </c>
      <c r="AP118">
        <v>1</v>
      </c>
      <c r="AQ118" t="s">
        <v>170</v>
      </c>
      <c r="AR118" t="s">
        <v>184</v>
      </c>
      <c r="AS118" t="s">
        <v>185</v>
      </c>
      <c r="AU118">
        <v>44682</v>
      </c>
      <c r="AX118" t="s">
        <v>170</v>
      </c>
      <c r="AY118">
        <v>1029</v>
      </c>
      <c r="BA118" t="s">
        <v>185</v>
      </c>
      <c r="BG118" t="s">
        <v>170</v>
      </c>
      <c r="BH118" t="s">
        <v>323</v>
      </c>
      <c r="BJ118" t="s">
        <v>195</v>
      </c>
      <c r="BK118">
        <v>0</v>
      </c>
      <c r="BN118" t="s">
        <v>705</v>
      </c>
      <c r="BO118">
        <v>24</v>
      </c>
      <c r="BP118">
        <v>1</v>
      </c>
    </row>
    <row r="119" spans="1:68" x14ac:dyDescent="0.25">
      <c r="A119" t="s">
        <v>324</v>
      </c>
      <c r="B119" s="1">
        <v>46181</v>
      </c>
      <c r="E119" t="s">
        <v>170</v>
      </c>
      <c r="F119">
        <v>0</v>
      </c>
      <c r="G119" t="s">
        <v>170</v>
      </c>
      <c r="H119">
        <v>7.67</v>
      </c>
      <c r="J119" t="s">
        <v>170</v>
      </c>
      <c r="L119" t="s">
        <v>208</v>
      </c>
      <c r="P119">
        <v>0</v>
      </c>
      <c r="Q119" t="s">
        <v>197</v>
      </c>
      <c r="R119" t="s">
        <v>85</v>
      </c>
      <c r="S119" t="s">
        <v>190</v>
      </c>
      <c r="T119" t="s">
        <v>191</v>
      </c>
      <c r="U119" t="s">
        <v>198</v>
      </c>
      <c r="V119" t="s">
        <v>199</v>
      </c>
      <c r="Z119" t="s">
        <v>170</v>
      </c>
      <c r="AA119">
        <v>0</v>
      </c>
      <c r="AB119" t="s">
        <v>179</v>
      </c>
      <c r="AC119" t="s">
        <v>170</v>
      </c>
      <c r="AD119" t="s">
        <v>170</v>
      </c>
      <c r="AF119" t="s">
        <v>180</v>
      </c>
      <c r="AG119" t="s">
        <v>181</v>
      </c>
      <c r="AH119" t="s">
        <v>73</v>
      </c>
      <c r="AI119" t="s">
        <v>199</v>
      </c>
      <c r="AJ119">
        <v>1</v>
      </c>
      <c r="AL119" t="s">
        <v>170</v>
      </c>
      <c r="AM119" t="s">
        <v>170</v>
      </c>
      <c r="AN119" t="s">
        <v>170</v>
      </c>
      <c r="AO119" t="s">
        <v>85</v>
      </c>
      <c r="AP119">
        <v>1</v>
      </c>
      <c r="AQ119" t="s">
        <v>170</v>
      </c>
      <c r="AR119" t="s">
        <v>222</v>
      </c>
      <c r="AS119" t="s">
        <v>185</v>
      </c>
      <c r="AU119">
        <v>44409</v>
      </c>
      <c r="AX119" t="s">
        <v>170</v>
      </c>
      <c r="AY119">
        <v>947</v>
      </c>
      <c r="BA119" t="s">
        <v>185</v>
      </c>
      <c r="BG119" t="s">
        <v>170</v>
      </c>
      <c r="BH119" t="s">
        <v>324</v>
      </c>
      <c r="BJ119" t="s">
        <v>195</v>
      </c>
      <c r="BK119">
        <v>0</v>
      </c>
      <c r="BN119" t="s">
        <v>706</v>
      </c>
      <c r="BO119">
        <v>24</v>
      </c>
      <c r="BP119">
        <v>1</v>
      </c>
    </row>
    <row r="120" spans="1:68" x14ac:dyDescent="0.25">
      <c r="A120" t="s">
        <v>325</v>
      </c>
      <c r="B120" s="1">
        <v>46181</v>
      </c>
      <c r="E120" t="s">
        <v>170</v>
      </c>
      <c r="F120">
        <v>0</v>
      </c>
      <c r="G120" t="s">
        <v>170</v>
      </c>
      <c r="H120">
        <v>7.67</v>
      </c>
      <c r="J120" t="s">
        <v>170</v>
      </c>
      <c r="L120" t="s">
        <v>208</v>
      </c>
      <c r="P120">
        <v>0</v>
      </c>
      <c r="Q120" t="s">
        <v>197</v>
      </c>
      <c r="R120" t="s">
        <v>174</v>
      </c>
      <c r="S120" t="s">
        <v>190</v>
      </c>
      <c r="T120" t="s">
        <v>191</v>
      </c>
      <c r="U120" t="s">
        <v>209</v>
      </c>
      <c r="V120" t="s">
        <v>210</v>
      </c>
      <c r="Z120" t="s">
        <v>170</v>
      </c>
      <c r="AA120">
        <v>0</v>
      </c>
      <c r="AB120" t="s">
        <v>179</v>
      </c>
      <c r="AC120" t="s">
        <v>170</v>
      </c>
      <c r="AD120" t="s">
        <v>170</v>
      </c>
      <c r="AF120" t="s">
        <v>180</v>
      </c>
      <c r="AG120" t="s">
        <v>181</v>
      </c>
      <c r="AH120" t="s">
        <v>73</v>
      </c>
      <c r="AI120" t="s">
        <v>210</v>
      </c>
      <c r="AJ120">
        <v>1</v>
      </c>
      <c r="AL120" t="s">
        <v>170</v>
      </c>
      <c r="AM120" t="s">
        <v>170</v>
      </c>
      <c r="AN120" t="s">
        <v>170</v>
      </c>
      <c r="AO120" t="s">
        <v>183</v>
      </c>
      <c r="AP120">
        <v>1</v>
      </c>
      <c r="AQ120" t="s">
        <v>170</v>
      </c>
      <c r="AR120" t="s">
        <v>184</v>
      </c>
      <c r="AS120" t="s">
        <v>185</v>
      </c>
      <c r="AU120">
        <v>45383</v>
      </c>
      <c r="AX120" t="s">
        <v>170</v>
      </c>
      <c r="AY120">
        <v>1174</v>
      </c>
      <c r="BA120" t="s">
        <v>185</v>
      </c>
      <c r="BG120" t="s">
        <v>170</v>
      </c>
      <c r="BH120" t="s">
        <v>325</v>
      </c>
      <c r="BK120">
        <v>0</v>
      </c>
      <c r="BN120" t="s">
        <v>707</v>
      </c>
      <c r="BO120">
        <v>24</v>
      </c>
      <c r="BP120">
        <v>1</v>
      </c>
    </row>
    <row r="121" spans="1:68" x14ac:dyDescent="0.25">
      <c r="A121" t="s">
        <v>246</v>
      </c>
      <c r="B121" s="1">
        <v>46181</v>
      </c>
      <c r="C121" t="s">
        <v>170</v>
      </c>
      <c r="D121" t="s">
        <v>170</v>
      </c>
      <c r="E121" t="s">
        <v>170</v>
      </c>
      <c r="F121">
        <v>0</v>
      </c>
      <c r="G121" t="s">
        <v>170</v>
      </c>
      <c r="H121">
        <v>7.6</v>
      </c>
      <c r="J121" t="s">
        <v>170</v>
      </c>
      <c r="L121" t="s">
        <v>285</v>
      </c>
      <c r="P121">
        <v>3.6</v>
      </c>
      <c r="Q121" t="s">
        <v>197</v>
      </c>
      <c r="R121" t="s">
        <v>174</v>
      </c>
      <c r="S121" t="s">
        <v>190</v>
      </c>
      <c r="T121" t="s">
        <v>191</v>
      </c>
      <c r="U121" t="s">
        <v>209</v>
      </c>
      <c r="V121" t="s">
        <v>210</v>
      </c>
      <c r="Z121" t="s">
        <v>170</v>
      </c>
      <c r="AA121">
        <v>0.5</v>
      </c>
      <c r="AB121" t="s">
        <v>179</v>
      </c>
      <c r="AC121" t="s">
        <v>170</v>
      </c>
      <c r="AD121" t="s">
        <v>170</v>
      </c>
      <c r="AF121" t="s">
        <v>180</v>
      </c>
      <c r="AG121" t="s">
        <v>181</v>
      </c>
      <c r="AH121" t="s">
        <v>232</v>
      </c>
      <c r="AI121" t="s">
        <v>210</v>
      </c>
      <c r="AJ121">
        <v>1</v>
      </c>
      <c r="AL121" t="s">
        <v>170</v>
      </c>
      <c r="AM121" t="s">
        <v>170</v>
      </c>
      <c r="AN121" t="s">
        <v>170</v>
      </c>
      <c r="AO121" t="s">
        <v>183</v>
      </c>
      <c r="AP121">
        <v>1</v>
      </c>
      <c r="AQ121" t="s">
        <v>170</v>
      </c>
      <c r="AR121" t="s">
        <v>184</v>
      </c>
      <c r="AS121" t="s">
        <v>185</v>
      </c>
      <c r="AU121">
        <v>43800</v>
      </c>
      <c r="AX121" t="s">
        <v>170</v>
      </c>
      <c r="AY121">
        <v>904</v>
      </c>
      <c r="BA121" t="s">
        <v>185</v>
      </c>
      <c r="BG121" t="s">
        <v>170</v>
      </c>
      <c r="BH121" t="s">
        <v>246</v>
      </c>
      <c r="BJ121" t="s">
        <v>195</v>
      </c>
      <c r="BK121">
        <v>0</v>
      </c>
      <c r="BN121" t="s">
        <v>708</v>
      </c>
      <c r="BO121">
        <v>24</v>
      </c>
      <c r="BP121">
        <v>1</v>
      </c>
    </row>
    <row r="122" spans="1:68" x14ac:dyDescent="0.25">
      <c r="A122" t="s">
        <v>249</v>
      </c>
      <c r="B122" s="1">
        <v>46181</v>
      </c>
      <c r="E122" t="s">
        <v>170</v>
      </c>
      <c r="F122">
        <v>0</v>
      </c>
      <c r="G122" t="s">
        <v>170</v>
      </c>
      <c r="H122">
        <v>7.67</v>
      </c>
      <c r="J122" t="s">
        <v>170</v>
      </c>
      <c r="L122" t="s">
        <v>208</v>
      </c>
      <c r="P122">
        <v>0</v>
      </c>
      <c r="Q122" t="s">
        <v>197</v>
      </c>
      <c r="R122" t="s">
        <v>174</v>
      </c>
      <c r="S122" t="s">
        <v>190</v>
      </c>
      <c r="T122" t="s">
        <v>191</v>
      </c>
      <c r="U122" t="s">
        <v>209</v>
      </c>
      <c r="V122" t="s">
        <v>210</v>
      </c>
      <c r="Z122" t="s">
        <v>170</v>
      </c>
      <c r="AA122">
        <v>0</v>
      </c>
      <c r="AB122" t="s">
        <v>179</v>
      </c>
      <c r="AC122" t="s">
        <v>170</v>
      </c>
      <c r="AD122" t="s">
        <v>170</v>
      </c>
      <c r="AF122" t="s">
        <v>180</v>
      </c>
      <c r="AG122" t="s">
        <v>181</v>
      </c>
      <c r="AH122" t="s">
        <v>73</v>
      </c>
      <c r="AI122" t="s">
        <v>210</v>
      </c>
      <c r="AJ122">
        <v>1</v>
      </c>
      <c r="AL122" t="s">
        <v>170</v>
      </c>
      <c r="AM122" t="s">
        <v>170</v>
      </c>
      <c r="AN122" t="s">
        <v>170</v>
      </c>
      <c r="AO122" t="s">
        <v>183</v>
      </c>
      <c r="AP122">
        <v>1</v>
      </c>
      <c r="AQ122" t="s">
        <v>170</v>
      </c>
      <c r="AR122" t="s">
        <v>184</v>
      </c>
      <c r="AS122" t="s">
        <v>185</v>
      </c>
      <c r="AU122">
        <v>41415</v>
      </c>
      <c r="AX122" t="s">
        <v>170</v>
      </c>
      <c r="AY122">
        <v>576</v>
      </c>
      <c r="BA122" t="s">
        <v>185</v>
      </c>
      <c r="BG122" t="s">
        <v>170</v>
      </c>
      <c r="BH122" t="s">
        <v>249</v>
      </c>
      <c r="BI122">
        <v>1</v>
      </c>
      <c r="BJ122" t="s">
        <v>195</v>
      </c>
      <c r="BK122">
        <v>0</v>
      </c>
      <c r="BN122" t="s">
        <v>709</v>
      </c>
      <c r="BO122">
        <v>24</v>
      </c>
      <c r="BP122">
        <v>1</v>
      </c>
    </row>
    <row r="123" spans="1:68" x14ac:dyDescent="0.25">
      <c r="A123" t="s">
        <v>448</v>
      </c>
      <c r="B123" s="1">
        <v>46181</v>
      </c>
      <c r="E123" t="s">
        <v>170</v>
      </c>
      <c r="F123">
        <v>0</v>
      </c>
      <c r="G123" t="s">
        <v>170</v>
      </c>
      <c r="H123">
        <v>7.67</v>
      </c>
      <c r="J123" t="s">
        <v>170</v>
      </c>
      <c r="L123" t="s">
        <v>171</v>
      </c>
      <c r="P123">
        <v>0</v>
      </c>
      <c r="Q123" t="s">
        <v>197</v>
      </c>
      <c r="R123" t="s">
        <v>174</v>
      </c>
      <c r="S123" t="s">
        <v>175</v>
      </c>
      <c r="T123" t="s">
        <v>176</v>
      </c>
      <c r="U123" t="s">
        <v>209</v>
      </c>
      <c r="V123" t="s">
        <v>262</v>
      </c>
      <c r="Z123" t="s">
        <v>170</v>
      </c>
      <c r="AA123">
        <v>0</v>
      </c>
      <c r="AB123" t="s">
        <v>179</v>
      </c>
      <c r="AC123" t="s">
        <v>170</v>
      </c>
      <c r="AD123" t="s">
        <v>170</v>
      </c>
      <c r="AF123" t="s">
        <v>180</v>
      </c>
      <c r="AG123" t="s">
        <v>181</v>
      </c>
      <c r="AH123" t="s">
        <v>73</v>
      </c>
      <c r="AI123" t="s">
        <v>210</v>
      </c>
      <c r="AJ123">
        <v>1</v>
      </c>
      <c r="AL123" t="s">
        <v>170</v>
      </c>
      <c r="AM123" t="s">
        <v>170</v>
      </c>
      <c r="AN123" t="s">
        <v>170</v>
      </c>
      <c r="AO123" t="s">
        <v>183</v>
      </c>
      <c r="AP123">
        <v>1</v>
      </c>
      <c r="AQ123" t="s">
        <v>170</v>
      </c>
      <c r="AR123" t="s">
        <v>184</v>
      </c>
      <c r="AS123" t="s">
        <v>185</v>
      </c>
      <c r="AU123">
        <v>45119</v>
      </c>
      <c r="AX123" t="s">
        <v>170</v>
      </c>
      <c r="AY123">
        <v>8543949</v>
      </c>
      <c r="BA123" t="s">
        <v>185</v>
      </c>
      <c r="BG123" t="s">
        <v>170</v>
      </c>
      <c r="BH123" t="s">
        <v>448</v>
      </c>
      <c r="BJ123" t="s">
        <v>211</v>
      </c>
      <c r="BK123">
        <v>0</v>
      </c>
      <c r="BN123" t="s">
        <v>710</v>
      </c>
      <c r="BO123">
        <v>24</v>
      </c>
      <c r="BP123">
        <v>1</v>
      </c>
    </row>
    <row r="124" spans="1:68" x14ac:dyDescent="0.25">
      <c r="A124" t="s">
        <v>327</v>
      </c>
      <c r="B124" s="1">
        <v>46181</v>
      </c>
      <c r="E124" t="s">
        <v>170</v>
      </c>
      <c r="F124">
        <v>0</v>
      </c>
      <c r="G124" t="s">
        <v>170</v>
      </c>
      <c r="H124">
        <v>7.67</v>
      </c>
      <c r="J124" t="s">
        <v>170</v>
      </c>
      <c r="L124" t="s">
        <v>208</v>
      </c>
      <c r="P124">
        <v>0</v>
      </c>
      <c r="Q124" t="s">
        <v>197</v>
      </c>
      <c r="R124" t="s">
        <v>174</v>
      </c>
      <c r="S124" t="s">
        <v>190</v>
      </c>
      <c r="T124" t="s">
        <v>191</v>
      </c>
      <c r="U124" t="s">
        <v>215</v>
      </c>
      <c r="V124" t="s">
        <v>216</v>
      </c>
      <c r="Z124" t="s">
        <v>170</v>
      </c>
      <c r="AA124">
        <v>0</v>
      </c>
      <c r="AB124" t="s">
        <v>179</v>
      </c>
      <c r="AC124" t="s">
        <v>170</v>
      </c>
      <c r="AD124" t="s">
        <v>170</v>
      </c>
      <c r="AF124" t="s">
        <v>180</v>
      </c>
      <c r="AG124" t="s">
        <v>181</v>
      </c>
      <c r="AH124" t="s">
        <v>73</v>
      </c>
      <c r="AI124" t="s">
        <v>216</v>
      </c>
      <c r="AJ124">
        <v>1</v>
      </c>
      <c r="AL124" t="s">
        <v>170</v>
      </c>
      <c r="AM124" t="s">
        <v>170</v>
      </c>
      <c r="AN124" t="s">
        <v>170</v>
      </c>
      <c r="AO124" t="s">
        <v>183</v>
      </c>
      <c r="AP124">
        <v>1</v>
      </c>
      <c r="AQ124" t="s">
        <v>170</v>
      </c>
      <c r="AR124" t="s">
        <v>194</v>
      </c>
      <c r="AS124" t="s">
        <v>185</v>
      </c>
      <c r="AU124">
        <v>45200</v>
      </c>
      <c r="AX124" t="s">
        <v>170</v>
      </c>
      <c r="AY124">
        <v>1147</v>
      </c>
      <c r="BA124" t="s">
        <v>185</v>
      </c>
      <c r="BG124" t="s">
        <v>170</v>
      </c>
      <c r="BH124" t="s">
        <v>327</v>
      </c>
      <c r="BJ124" t="s">
        <v>195</v>
      </c>
      <c r="BK124">
        <v>0</v>
      </c>
      <c r="BN124" t="s">
        <v>711</v>
      </c>
      <c r="BO124">
        <v>24</v>
      </c>
      <c r="BP124">
        <v>1</v>
      </c>
    </row>
    <row r="125" spans="1:68" x14ac:dyDescent="0.25">
      <c r="A125" t="s">
        <v>253</v>
      </c>
      <c r="B125" s="1">
        <v>46181</v>
      </c>
      <c r="E125" t="s">
        <v>170</v>
      </c>
      <c r="F125">
        <v>0</v>
      </c>
      <c r="G125" t="s">
        <v>170</v>
      </c>
      <c r="H125">
        <v>7.6</v>
      </c>
      <c r="J125" t="s">
        <v>170</v>
      </c>
      <c r="L125" t="s">
        <v>219</v>
      </c>
      <c r="P125">
        <v>0</v>
      </c>
      <c r="Q125" t="s">
        <v>197</v>
      </c>
      <c r="R125" t="s">
        <v>174</v>
      </c>
      <c r="S125" t="s">
        <v>190</v>
      </c>
      <c r="T125" t="s">
        <v>191</v>
      </c>
      <c r="U125" t="s">
        <v>209</v>
      </c>
      <c r="V125" t="s">
        <v>210</v>
      </c>
      <c r="Z125" t="s">
        <v>170</v>
      </c>
      <c r="AA125">
        <v>0</v>
      </c>
      <c r="AB125" t="s">
        <v>179</v>
      </c>
      <c r="AC125" t="s">
        <v>170</v>
      </c>
      <c r="AD125" t="s">
        <v>170</v>
      </c>
      <c r="AF125" t="s">
        <v>180</v>
      </c>
      <c r="AG125" t="s">
        <v>181</v>
      </c>
      <c r="AH125" t="s">
        <v>220</v>
      </c>
      <c r="AI125" t="s">
        <v>210</v>
      </c>
      <c r="AJ125">
        <v>1</v>
      </c>
      <c r="AL125" t="s">
        <v>170</v>
      </c>
      <c r="AM125" t="s">
        <v>170</v>
      </c>
      <c r="AN125" t="s">
        <v>170</v>
      </c>
      <c r="AO125" t="s">
        <v>183</v>
      </c>
      <c r="AP125">
        <v>1</v>
      </c>
      <c r="AQ125" t="s">
        <v>170</v>
      </c>
      <c r="AR125" t="s">
        <v>184</v>
      </c>
      <c r="AS125" t="s">
        <v>185</v>
      </c>
      <c r="AU125">
        <v>39265</v>
      </c>
      <c r="AX125" t="s">
        <v>170</v>
      </c>
      <c r="AY125">
        <v>94</v>
      </c>
      <c r="BA125" t="s">
        <v>185</v>
      </c>
      <c r="BG125" t="s">
        <v>170</v>
      </c>
      <c r="BH125" t="s">
        <v>253</v>
      </c>
      <c r="BI125">
        <v>1</v>
      </c>
      <c r="BJ125" t="s">
        <v>220</v>
      </c>
      <c r="BK125">
        <v>0</v>
      </c>
      <c r="BN125" t="s">
        <v>712</v>
      </c>
      <c r="BO125">
        <v>24</v>
      </c>
      <c r="BP125">
        <v>1</v>
      </c>
    </row>
    <row r="126" spans="1:68" x14ac:dyDescent="0.25">
      <c r="A126" t="s">
        <v>329</v>
      </c>
      <c r="B126" s="1">
        <v>46181</v>
      </c>
      <c r="E126" t="s">
        <v>170</v>
      </c>
      <c r="F126">
        <v>0</v>
      </c>
      <c r="G126" t="s">
        <v>170</v>
      </c>
      <c r="H126">
        <v>7.6</v>
      </c>
      <c r="J126" t="s">
        <v>170</v>
      </c>
      <c r="L126" t="s">
        <v>219</v>
      </c>
      <c r="P126">
        <v>0</v>
      </c>
      <c r="Q126" t="s">
        <v>197</v>
      </c>
      <c r="R126" t="s">
        <v>174</v>
      </c>
      <c r="S126" t="s">
        <v>190</v>
      </c>
      <c r="T126" t="s">
        <v>191</v>
      </c>
      <c r="U126" t="s">
        <v>215</v>
      </c>
      <c r="V126" t="s">
        <v>216</v>
      </c>
      <c r="Z126" t="s">
        <v>170</v>
      </c>
      <c r="AA126">
        <v>0</v>
      </c>
      <c r="AB126" t="s">
        <v>179</v>
      </c>
      <c r="AC126" t="s">
        <v>170</v>
      </c>
      <c r="AD126" t="s">
        <v>170</v>
      </c>
      <c r="AF126" t="s">
        <v>180</v>
      </c>
      <c r="AG126" t="s">
        <v>181</v>
      </c>
      <c r="AH126" t="s">
        <v>220</v>
      </c>
      <c r="AI126" t="s">
        <v>216</v>
      </c>
      <c r="AJ126">
        <v>1</v>
      </c>
      <c r="AL126" t="s">
        <v>170</v>
      </c>
      <c r="AM126" t="s">
        <v>170</v>
      </c>
      <c r="AN126" t="s">
        <v>170</v>
      </c>
      <c r="AO126" t="s">
        <v>183</v>
      </c>
      <c r="AP126">
        <v>1</v>
      </c>
      <c r="AQ126" t="s">
        <v>170</v>
      </c>
      <c r="AR126" t="s">
        <v>194</v>
      </c>
      <c r="AS126" t="s">
        <v>185</v>
      </c>
      <c r="AU126">
        <v>39482</v>
      </c>
      <c r="AX126" t="s">
        <v>170</v>
      </c>
      <c r="AY126">
        <v>293</v>
      </c>
      <c r="BA126" t="s">
        <v>185</v>
      </c>
      <c r="BG126" t="s">
        <v>170</v>
      </c>
      <c r="BH126" t="s">
        <v>329</v>
      </c>
      <c r="BI126">
        <v>2</v>
      </c>
      <c r="BJ126" t="s">
        <v>220</v>
      </c>
      <c r="BK126">
        <v>0</v>
      </c>
      <c r="BN126" t="s">
        <v>713</v>
      </c>
      <c r="BO126">
        <v>24</v>
      </c>
      <c r="BP126">
        <v>1</v>
      </c>
    </row>
    <row r="127" spans="1:68" x14ac:dyDescent="0.25">
      <c r="A127" t="s">
        <v>450</v>
      </c>
      <c r="B127" s="1">
        <v>46181</v>
      </c>
      <c r="C127" t="s">
        <v>170</v>
      </c>
      <c r="D127" t="s">
        <v>170</v>
      </c>
      <c r="E127" t="s">
        <v>170</v>
      </c>
      <c r="F127">
        <v>0</v>
      </c>
      <c r="G127" t="s">
        <v>170</v>
      </c>
      <c r="H127">
        <v>7.6</v>
      </c>
      <c r="J127" t="s">
        <v>170</v>
      </c>
      <c r="L127" t="s">
        <v>285</v>
      </c>
      <c r="P127">
        <v>3.6</v>
      </c>
      <c r="Q127" t="s">
        <v>197</v>
      </c>
      <c r="R127" t="s">
        <v>189</v>
      </c>
      <c r="S127" t="s">
        <v>190</v>
      </c>
      <c r="T127" t="s">
        <v>191</v>
      </c>
      <c r="U127" t="s">
        <v>209</v>
      </c>
      <c r="V127" t="s">
        <v>210</v>
      </c>
      <c r="Z127" t="s">
        <v>170</v>
      </c>
      <c r="AA127">
        <v>0.5</v>
      </c>
      <c r="AB127" t="s">
        <v>179</v>
      </c>
      <c r="AC127" t="s">
        <v>170</v>
      </c>
      <c r="AD127" t="s">
        <v>170</v>
      </c>
      <c r="AF127" t="s">
        <v>180</v>
      </c>
      <c r="AG127" t="s">
        <v>181</v>
      </c>
      <c r="AH127" t="s">
        <v>232</v>
      </c>
      <c r="AI127" t="s">
        <v>210</v>
      </c>
      <c r="AJ127">
        <v>1</v>
      </c>
      <c r="AL127" t="s">
        <v>170</v>
      </c>
      <c r="AM127" t="s">
        <v>170</v>
      </c>
      <c r="AN127" t="s">
        <v>170</v>
      </c>
      <c r="AO127" t="s">
        <v>183</v>
      </c>
      <c r="AP127">
        <v>1</v>
      </c>
      <c r="AQ127" t="s">
        <v>170</v>
      </c>
      <c r="AR127" t="s">
        <v>184</v>
      </c>
      <c r="AS127" t="s">
        <v>185</v>
      </c>
      <c r="AU127">
        <v>39440</v>
      </c>
      <c r="AX127" t="s">
        <v>170</v>
      </c>
      <c r="AY127">
        <v>278</v>
      </c>
      <c r="BA127" t="s">
        <v>185</v>
      </c>
      <c r="BG127" t="s">
        <v>170</v>
      </c>
      <c r="BH127" t="s">
        <v>450</v>
      </c>
      <c r="BJ127" t="s">
        <v>220</v>
      </c>
      <c r="BK127">
        <v>0</v>
      </c>
      <c r="BN127" t="s">
        <v>714</v>
      </c>
      <c r="BO127">
        <v>24</v>
      </c>
      <c r="BP127">
        <v>1</v>
      </c>
    </row>
    <row r="128" spans="1:68" x14ac:dyDescent="0.25">
      <c r="A128" t="s">
        <v>332</v>
      </c>
      <c r="B128" s="1">
        <v>46181</v>
      </c>
      <c r="E128" t="s">
        <v>170</v>
      </c>
      <c r="F128">
        <v>0</v>
      </c>
      <c r="G128" t="s">
        <v>170</v>
      </c>
      <c r="H128">
        <v>8</v>
      </c>
      <c r="J128" t="s">
        <v>170</v>
      </c>
      <c r="L128" t="s">
        <v>187</v>
      </c>
      <c r="P128">
        <v>0</v>
      </c>
      <c r="Q128" t="s">
        <v>197</v>
      </c>
      <c r="R128" t="s">
        <v>174</v>
      </c>
      <c r="S128" t="s">
        <v>190</v>
      </c>
      <c r="T128" t="s">
        <v>191</v>
      </c>
      <c r="U128" t="s">
        <v>215</v>
      </c>
      <c r="V128" t="s">
        <v>216</v>
      </c>
      <c r="Z128" t="s">
        <v>170</v>
      </c>
      <c r="AA128">
        <v>0</v>
      </c>
      <c r="AB128" t="s">
        <v>179</v>
      </c>
      <c r="AC128" t="s">
        <v>170</v>
      </c>
      <c r="AD128" t="s">
        <v>170</v>
      </c>
      <c r="AF128" t="s">
        <v>180</v>
      </c>
      <c r="AG128" t="s">
        <v>181</v>
      </c>
      <c r="AH128" t="s">
        <v>72</v>
      </c>
      <c r="AI128" t="s">
        <v>216</v>
      </c>
      <c r="AJ128">
        <v>1</v>
      </c>
      <c r="AL128" t="s">
        <v>170</v>
      </c>
      <c r="AM128" t="s">
        <v>170</v>
      </c>
      <c r="AN128" t="s">
        <v>170</v>
      </c>
      <c r="AO128" t="s">
        <v>183</v>
      </c>
      <c r="AP128">
        <v>1</v>
      </c>
      <c r="AQ128" t="s">
        <v>170</v>
      </c>
      <c r="AR128" t="s">
        <v>194</v>
      </c>
      <c r="AS128" t="s">
        <v>185</v>
      </c>
      <c r="AU128">
        <v>42979</v>
      </c>
      <c r="AX128" t="s">
        <v>170</v>
      </c>
      <c r="AY128">
        <v>752</v>
      </c>
      <c r="BA128" t="s">
        <v>185</v>
      </c>
      <c r="BG128" t="s">
        <v>170</v>
      </c>
      <c r="BH128" t="s">
        <v>332</v>
      </c>
      <c r="BI128">
        <v>4</v>
      </c>
      <c r="BJ128" t="s">
        <v>211</v>
      </c>
      <c r="BK128">
        <v>0</v>
      </c>
      <c r="BN128" t="s">
        <v>715</v>
      </c>
      <c r="BO128">
        <v>24</v>
      </c>
      <c r="BP128">
        <v>1</v>
      </c>
    </row>
    <row r="129" spans="1:68" x14ac:dyDescent="0.25">
      <c r="A129" t="s">
        <v>254</v>
      </c>
      <c r="B129" s="1">
        <v>46181</v>
      </c>
      <c r="E129" t="s">
        <v>170</v>
      </c>
      <c r="F129">
        <v>0</v>
      </c>
      <c r="G129" t="s">
        <v>170</v>
      </c>
      <c r="H129">
        <v>8</v>
      </c>
      <c r="J129" t="s">
        <v>170</v>
      </c>
      <c r="L129" t="s">
        <v>187</v>
      </c>
      <c r="P129">
        <v>0</v>
      </c>
      <c r="Q129" t="s">
        <v>197</v>
      </c>
      <c r="R129" t="s">
        <v>174</v>
      </c>
      <c r="S129" t="s">
        <v>190</v>
      </c>
      <c r="T129" t="s">
        <v>191</v>
      </c>
      <c r="U129" t="s">
        <v>215</v>
      </c>
      <c r="V129" t="s">
        <v>216</v>
      </c>
      <c r="Z129" t="s">
        <v>170</v>
      </c>
      <c r="AA129">
        <v>0</v>
      </c>
      <c r="AB129" t="s">
        <v>179</v>
      </c>
      <c r="AC129" t="s">
        <v>170</v>
      </c>
      <c r="AD129" t="s">
        <v>170</v>
      </c>
      <c r="AF129" t="s">
        <v>180</v>
      </c>
      <c r="AG129" t="s">
        <v>181</v>
      </c>
      <c r="AH129" t="s">
        <v>72</v>
      </c>
      <c r="AI129" t="s">
        <v>216</v>
      </c>
      <c r="AJ129">
        <v>1</v>
      </c>
      <c r="AL129" t="s">
        <v>170</v>
      </c>
      <c r="AM129" t="s">
        <v>170</v>
      </c>
      <c r="AN129" t="s">
        <v>170</v>
      </c>
      <c r="AO129" t="s">
        <v>183</v>
      </c>
      <c r="AP129">
        <v>1</v>
      </c>
      <c r="AQ129" t="s">
        <v>170</v>
      </c>
      <c r="AR129" t="s">
        <v>194</v>
      </c>
      <c r="AS129" t="s">
        <v>185</v>
      </c>
      <c r="AU129">
        <v>43617</v>
      </c>
      <c r="AX129" t="s">
        <v>170</v>
      </c>
      <c r="AY129">
        <v>873</v>
      </c>
      <c r="BA129" t="s">
        <v>185</v>
      </c>
      <c r="BG129" t="s">
        <v>170</v>
      </c>
      <c r="BH129" t="s">
        <v>254</v>
      </c>
      <c r="BJ129" t="s">
        <v>211</v>
      </c>
      <c r="BK129">
        <v>0</v>
      </c>
      <c r="BN129" t="s">
        <v>716</v>
      </c>
      <c r="BO129">
        <v>24</v>
      </c>
      <c r="BP129">
        <v>1</v>
      </c>
    </row>
    <row r="130" spans="1:68" x14ac:dyDescent="0.25">
      <c r="A130" t="s">
        <v>334</v>
      </c>
      <c r="B130" s="1">
        <v>46181</v>
      </c>
      <c r="E130" t="s">
        <v>170</v>
      </c>
      <c r="F130">
        <v>0</v>
      </c>
      <c r="G130" t="s">
        <v>170</v>
      </c>
      <c r="H130">
        <v>7.67</v>
      </c>
      <c r="J130" t="s">
        <v>170</v>
      </c>
      <c r="L130" t="s">
        <v>208</v>
      </c>
      <c r="P130">
        <v>0</v>
      </c>
      <c r="Q130" t="s">
        <v>197</v>
      </c>
      <c r="R130" t="s">
        <v>174</v>
      </c>
      <c r="S130" t="s">
        <v>190</v>
      </c>
      <c r="T130" t="s">
        <v>191</v>
      </c>
      <c r="U130" t="s">
        <v>215</v>
      </c>
      <c r="V130" t="s">
        <v>216</v>
      </c>
      <c r="Z130" t="s">
        <v>170</v>
      </c>
      <c r="AA130">
        <v>0</v>
      </c>
      <c r="AB130" t="s">
        <v>179</v>
      </c>
      <c r="AC130" t="s">
        <v>170</v>
      </c>
      <c r="AD130" t="s">
        <v>170</v>
      </c>
      <c r="AF130" t="s">
        <v>180</v>
      </c>
      <c r="AG130" t="s">
        <v>181</v>
      </c>
      <c r="AH130" t="s">
        <v>73</v>
      </c>
      <c r="AI130" t="s">
        <v>216</v>
      </c>
      <c r="AJ130">
        <v>1</v>
      </c>
      <c r="AL130" t="s">
        <v>170</v>
      </c>
      <c r="AM130" t="s">
        <v>170</v>
      </c>
      <c r="AN130" t="s">
        <v>170</v>
      </c>
      <c r="AO130" t="s">
        <v>183</v>
      </c>
      <c r="AP130">
        <v>1</v>
      </c>
      <c r="AQ130" t="s">
        <v>170</v>
      </c>
      <c r="AR130" t="s">
        <v>194</v>
      </c>
      <c r="AS130" t="s">
        <v>185</v>
      </c>
      <c r="AU130">
        <v>41661</v>
      </c>
      <c r="AX130" t="s">
        <v>170</v>
      </c>
      <c r="AY130">
        <v>605</v>
      </c>
      <c r="BA130" t="s">
        <v>185</v>
      </c>
      <c r="BG130" t="s">
        <v>170</v>
      </c>
      <c r="BH130" t="s">
        <v>334</v>
      </c>
      <c r="BI130">
        <v>2</v>
      </c>
      <c r="BJ130" t="s">
        <v>195</v>
      </c>
      <c r="BK130">
        <v>0</v>
      </c>
      <c r="BN130" t="s">
        <v>717</v>
      </c>
      <c r="BO130">
        <v>24</v>
      </c>
      <c r="BP130">
        <v>1</v>
      </c>
    </row>
    <row r="131" spans="1:68" x14ac:dyDescent="0.25">
      <c r="A131" t="s">
        <v>257</v>
      </c>
      <c r="B131" s="1">
        <v>46181</v>
      </c>
      <c r="C131" t="s">
        <v>170</v>
      </c>
      <c r="D131" t="s">
        <v>170</v>
      </c>
      <c r="E131" t="s">
        <v>170</v>
      </c>
      <c r="F131">
        <v>0</v>
      </c>
      <c r="G131" t="s">
        <v>170</v>
      </c>
      <c r="H131">
        <v>8</v>
      </c>
      <c r="J131" t="s">
        <v>170</v>
      </c>
      <c r="L131" t="s">
        <v>187</v>
      </c>
      <c r="P131">
        <v>0</v>
      </c>
      <c r="Q131" t="s">
        <v>197</v>
      </c>
      <c r="R131" t="s">
        <v>174</v>
      </c>
      <c r="S131" t="s">
        <v>190</v>
      </c>
      <c r="T131" t="s">
        <v>191</v>
      </c>
      <c r="U131" t="s">
        <v>209</v>
      </c>
      <c r="V131" t="s">
        <v>210</v>
      </c>
      <c r="Z131" t="s">
        <v>170</v>
      </c>
      <c r="AA131">
        <v>0</v>
      </c>
      <c r="AB131" t="s">
        <v>179</v>
      </c>
      <c r="AC131" t="s">
        <v>170</v>
      </c>
      <c r="AD131" t="s">
        <v>170</v>
      </c>
      <c r="AF131" t="s">
        <v>180</v>
      </c>
      <c r="AG131" t="s">
        <v>181</v>
      </c>
      <c r="AH131" t="s">
        <v>72</v>
      </c>
      <c r="AI131" t="s">
        <v>210</v>
      </c>
      <c r="AJ131">
        <v>1</v>
      </c>
      <c r="AL131" t="s">
        <v>170</v>
      </c>
      <c r="AM131" t="s">
        <v>170</v>
      </c>
      <c r="AN131" t="s">
        <v>170</v>
      </c>
      <c r="AO131" t="s">
        <v>183</v>
      </c>
      <c r="AP131">
        <v>1</v>
      </c>
      <c r="AQ131" t="s">
        <v>170</v>
      </c>
      <c r="AR131" t="s">
        <v>184</v>
      </c>
      <c r="AS131" t="s">
        <v>185</v>
      </c>
      <c r="AU131">
        <v>43862</v>
      </c>
      <c r="AX131" t="s">
        <v>170</v>
      </c>
      <c r="AY131">
        <v>910</v>
      </c>
      <c r="BA131" t="s">
        <v>185</v>
      </c>
      <c r="BF131" t="s">
        <v>403</v>
      </c>
      <c r="BG131" t="s">
        <v>170</v>
      </c>
      <c r="BH131" t="s">
        <v>257</v>
      </c>
      <c r="BJ131" t="s">
        <v>211</v>
      </c>
      <c r="BK131">
        <v>0</v>
      </c>
      <c r="BN131" t="s">
        <v>718</v>
      </c>
      <c r="BO131">
        <v>24</v>
      </c>
      <c r="BP131">
        <v>1</v>
      </c>
    </row>
    <row r="132" spans="1:68" x14ac:dyDescent="0.25">
      <c r="A132" t="s">
        <v>566</v>
      </c>
      <c r="B132" s="1">
        <v>46181</v>
      </c>
      <c r="E132" t="s">
        <v>170</v>
      </c>
      <c r="F132">
        <v>0</v>
      </c>
      <c r="G132" t="s">
        <v>170</v>
      </c>
      <c r="H132">
        <v>8</v>
      </c>
      <c r="J132" t="s">
        <v>170</v>
      </c>
      <c r="L132" t="s">
        <v>187</v>
      </c>
      <c r="P132">
        <v>0</v>
      </c>
      <c r="Q132" t="s">
        <v>197</v>
      </c>
      <c r="R132" t="s">
        <v>85</v>
      </c>
      <c r="S132" t="s">
        <v>190</v>
      </c>
      <c r="T132" t="s">
        <v>191</v>
      </c>
      <c r="U132" t="s">
        <v>215</v>
      </c>
      <c r="V132" t="s">
        <v>216</v>
      </c>
      <c r="Z132" t="s">
        <v>170</v>
      </c>
      <c r="AA132">
        <v>0</v>
      </c>
      <c r="AB132" t="s">
        <v>179</v>
      </c>
      <c r="AC132" t="s">
        <v>170</v>
      </c>
      <c r="AD132" t="s">
        <v>170</v>
      </c>
      <c r="AF132" t="s">
        <v>180</v>
      </c>
      <c r="AG132" t="s">
        <v>181</v>
      </c>
      <c r="AH132" t="s">
        <v>72</v>
      </c>
      <c r="AI132" t="s">
        <v>216</v>
      </c>
      <c r="AJ132">
        <v>1</v>
      </c>
      <c r="AL132" t="s">
        <v>170</v>
      </c>
      <c r="AM132" t="s">
        <v>170</v>
      </c>
      <c r="AN132" t="s">
        <v>170</v>
      </c>
      <c r="AO132" t="s">
        <v>85</v>
      </c>
      <c r="AP132">
        <v>1</v>
      </c>
      <c r="AQ132" t="s">
        <v>170</v>
      </c>
      <c r="AR132" t="s">
        <v>194</v>
      </c>
      <c r="AS132" t="s">
        <v>185</v>
      </c>
      <c r="AU132">
        <v>40616</v>
      </c>
      <c r="AX132" t="s">
        <v>170</v>
      </c>
      <c r="AY132">
        <v>466</v>
      </c>
      <c r="BA132" t="s">
        <v>185</v>
      </c>
      <c r="BG132" t="s">
        <v>170</v>
      </c>
      <c r="BH132" t="s">
        <v>566</v>
      </c>
      <c r="BJ132" t="s">
        <v>211</v>
      </c>
      <c r="BK132">
        <v>0</v>
      </c>
      <c r="BN132" t="s">
        <v>719</v>
      </c>
      <c r="BO132">
        <v>24</v>
      </c>
      <c r="BP132">
        <v>1</v>
      </c>
    </row>
    <row r="133" spans="1:68" x14ac:dyDescent="0.25">
      <c r="A133" t="s">
        <v>337</v>
      </c>
      <c r="B133" s="1">
        <v>46181</v>
      </c>
      <c r="E133" t="s">
        <v>170</v>
      </c>
      <c r="F133">
        <v>0</v>
      </c>
      <c r="G133" t="s">
        <v>170</v>
      </c>
      <c r="H133">
        <v>7.6</v>
      </c>
      <c r="J133" t="s">
        <v>170</v>
      </c>
      <c r="L133" t="s">
        <v>219</v>
      </c>
      <c r="P133">
        <v>0</v>
      </c>
      <c r="Q133" t="s">
        <v>197</v>
      </c>
      <c r="R133" t="s">
        <v>174</v>
      </c>
      <c r="S133" t="s">
        <v>190</v>
      </c>
      <c r="T133" t="s">
        <v>191</v>
      </c>
      <c r="U133" t="s">
        <v>209</v>
      </c>
      <c r="V133" t="s">
        <v>210</v>
      </c>
      <c r="Z133" t="s">
        <v>170</v>
      </c>
      <c r="AA133">
        <v>0</v>
      </c>
      <c r="AB133" t="s">
        <v>179</v>
      </c>
      <c r="AC133" t="s">
        <v>170</v>
      </c>
      <c r="AD133" t="s">
        <v>170</v>
      </c>
      <c r="AF133" t="s">
        <v>180</v>
      </c>
      <c r="AG133" t="s">
        <v>181</v>
      </c>
      <c r="AH133" t="s">
        <v>220</v>
      </c>
      <c r="AI133" t="s">
        <v>210</v>
      </c>
      <c r="AJ133">
        <v>1</v>
      </c>
      <c r="AL133" t="s">
        <v>170</v>
      </c>
      <c r="AM133" t="s">
        <v>170</v>
      </c>
      <c r="AN133" t="s">
        <v>170</v>
      </c>
      <c r="AO133" t="s">
        <v>183</v>
      </c>
      <c r="AP133">
        <v>1</v>
      </c>
      <c r="AQ133" t="s">
        <v>170</v>
      </c>
      <c r="AR133" t="s">
        <v>184</v>
      </c>
      <c r="AS133" t="s">
        <v>185</v>
      </c>
      <c r="AU133">
        <v>44835</v>
      </c>
      <c r="AX133" t="s">
        <v>170</v>
      </c>
      <c r="AY133">
        <v>1106</v>
      </c>
      <c r="BA133" t="s">
        <v>185</v>
      </c>
      <c r="BG133" t="s">
        <v>170</v>
      </c>
      <c r="BH133" t="s">
        <v>337</v>
      </c>
      <c r="BJ133" t="s">
        <v>211</v>
      </c>
      <c r="BK133">
        <v>0</v>
      </c>
      <c r="BN133" t="s">
        <v>720</v>
      </c>
      <c r="BO133">
        <v>24</v>
      </c>
      <c r="BP133">
        <v>1</v>
      </c>
    </row>
    <row r="134" spans="1:68" x14ac:dyDescent="0.25">
      <c r="A134" t="s">
        <v>451</v>
      </c>
      <c r="B134" s="1">
        <v>46181</v>
      </c>
      <c r="E134" t="s">
        <v>170</v>
      </c>
      <c r="F134">
        <v>0</v>
      </c>
      <c r="G134" t="s">
        <v>170</v>
      </c>
      <c r="H134">
        <v>7.67</v>
      </c>
      <c r="J134" t="s">
        <v>170</v>
      </c>
      <c r="L134" t="s">
        <v>208</v>
      </c>
      <c r="P134">
        <v>0</v>
      </c>
      <c r="Q134" t="s">
        <v>197</v>
      </c>
      <c r="R134" t="s">
        <v>174</v>
      </c>
      <c r="S134" t="s">
        <v>190</v>
      </c>
      <c r="T134" t="s">
        <v>191</v>
      </c>
      <c r="U134" t="s">
        <v>215</v>
      </c>
      <c r="V134" t="s">
        <v>216</v>
      </c>
      <c r="Z134" t="s">
        <v>170</v>
      </c>
      <c r="AA134">
        <v>0</v>
      </c>
      <c r="AB134" t="s">
        <v>179</v>
      </c>
      <c r="AC134" t="s">
        <v>170</v>
      </c>
      <c r="AD134" t="s">
        <v>170</v>
      </c>
      <c r="AF134" t="s">
        <v>180</v>
      </c>
      <c r="AG134" t="s">
        <v>181</v>
      </c>
      <c r="AH134" t="s">
        <v>73</v>
      </c>
      <c r="AI134" t="s">
        <v>216</v>
      </c>
      <c r="AJ134">
        <v>1</v>
      </c>
      <c r="AL134" t="s">
        <v>170</v>
      </c>
      <c r="AM134" t="s">
        <v>170</v>
      </c>
      <c r="AN134" t="s">
        <v>170</v>
      </c>
      <c r="AO134" t="s">
        <v>183</v>
      </c>
      <c r="AP134">
        <v>1</v>
      </c>
      <c r="AQ134" t="s">
        <v>170</v>
      </c>
      <c r="AR134" t="s">
        <v>194</v>
      </c>
      <c r="AS134" t="s">
        <v>185</v>
      </c>
      <c r="AU134">
        <v>43770</v>
      </c>
      <c r="AX134" t="s">
        <v>170</v>
      </c>
      <c r="AY134">
        <v>899</v>
      </c>
      <c r="BA134" t="s">
        <v>185</v>
      </c>
      <c r="BG134" t="s">
        <v>170</v>
      </c>
      <c r="BH134" t="s">
        <v>451</v>
      </c>
      <c r="BJ134" t="s">
        <v>195</v>
      </c>
      <c r="BK134">
        <v>0</v>
      </c>
      <c r="BN134" t="s">
        <v>721</v>
      </c>
      <c r="BO134">
        <v>24</v>
      </c>
      <c r="BP134">
        <v>1</v>
      </c>
    </row>
    <row r="135" spans="1:68" x14ac:dyDescent="0.25">
      <c r="A135" t="s">
        <v>338</v>
      </c>
      <c r="B135" s="1">
        <v>46181</v>
      </c>
      <c r="E135" t="s">
        <v>170</v>
      </c>
      <c r="F135">
        <v>0</v>
      </c>
      <c r="G135" t="s">
        <v>170</v>
      </c>
      <c r="H135">
        <v>8</v>
      </c>
      <c r="J135" t="s">
        <v>170</v>
      </c>
      <c r="L135" t="s">
        <v>187</v>
      </c>
      <c r="P135">
        <v>0</v>
      </c>
      <c r="Q135" t="s">
        <v>197</v>
      </c>
      <c r="R135" t="s">
        <v>174</v>
      </c>
      <c r="S135" t="s">
        <v>190</v>
      </c>
      <c r="T135" t="s">
        <v>191</v>
      </c>
      <c r="U135" t="s">
        <v>209</v>
      </c>
      <c r="V135" t="s">
        <v>210</v>
      </c>
      <c r="Z135" t="s">
        <v>170</v>
      </c>
      <c r="AA135">
        <v>0</v>
      </c>
      <c r="AB135" t="s">
        <v>179</v>
      </c>
      <c r="AC135" t="s">
        <v>170</v>
      </c>
      <c r="AD135" t="s">
        <v>170</v>
      </c>
      <c r="AF135" t="s">
        <v>180</v>
      </c>
      <c r="AG135" t="s">
        <v>181</v>
      </c>
      <c r="AH135" t="s">
        <v>72</v>
      </c>
      <c r="AI135" t="s">
        <v>210</v>
      </c>
      <c r="AJ135">
        <v>1</v>
      </c>
      <c r="AL135" t="s">
        <v>170</v>
      </c>
      <c r="AM135" t="s">
        <v>170</v>
      </c>
      <c r="AN135" t="s">
        <v>170</v>
      </c>
      <c r="AO135" t="s">
        <v>183</v>
      </c>
      <c r="AP135">
        <v>1</v>
      </c>
      <c r="AQ135" t="s">
        <v>170</v>
      </c>
      <c r="AR135" t="s">
        <v>184</v>
      </c>
      <c r="AS135" t="s">
        <v>185</v>
      </c>
      <c r="AU135">
        <v>45383</v>
      </c>
      <c r="AX135" t="s">
        <v>170</v>
      </c>
      <c r="AY135">
        <v>1172</v>
      </c>
      <c r="BA135" t="s">
        <v>185</v>
      </c>
      <c r="BG135" t="s">
        <v>170</v>
      </c>
      <c r="BH135" t="s">
        <v>338</v>
      </c>
      <c r="BK135">
        <v>0</v>
      </c>
      <c r="BN135" t="s">
        <v>722</v>
      </c>
      <c r="BO135">
        <v>24</v>
      </c>
      <c r="BP135">
        <v>1</v>
      </c>
    </row>
    <row r="136" spans="1:68" x14ac:dyDescent="0.25">
      <c r="A136" t="s">
        <v>723</v>
      </c>
      <c r="B136" s="1">
        <v>46181</v>
      </c>
      <c r="E136" t="s">
        <v>170</v>
      </c>
      <c r="F136">
        <v>0</v>
      </c>
      <c r="G136" t="s">
        <v>170</v>
      </c>
      <c r="H136">
        <v>7.67</v>
      </c>
      <c r="J136" t="s">
        <v>170</v>
      </c>
      <c r="L136" t="s">
        <v>171</v>
      </c>
      <c r="P136">
        <v>0</v>
      </c>
      <c r="Q136" t="s">
        <v>173</v>
      </c>
      <c r="R136" t="s">
        <v>174</v>
      </c>
      <c r="S136" t="s">
        <v>175</v>
      </c>
      <c r="T136" t="s">
        <v>176</v>
      </c>
      <c r="U136" t="s">
        <v>177</v>
      </c>
      <c r="V136" t="s">
        <v>262</v>
      </c>
      <c r="Z136" t="s">
        <v>170</v>
      </c>
      <c r="AA136">
        <v>0</v>
      </c>
      <c r="AB136" t="s">
        <v>179</v>
      </c>
      <c r="AC136" t="s">
        <v>170</v>
      </c>
      <c r="AD136" t="s">
        <v>170</v>
      </c>
      <c r="AF136" t="s">
        <v>180</v>
      </c>
      <c r="AG136" t="s">
        <v>181</v>
      </c>
      <c r="AH136" t="s">
        <v>73</v>
      </c>
      <c r="AI136" t="s">
        <v>210</v>
      </c>
      <c r="AJ136">
        <v>1</v>
      </c>
      <c r="AL136" t="s">
        <v>170</v>
      </c>
      <c r="AM136" t="s">
        <v>170</v>
      </c>
      <c r="AN136" t="s">
        <v>170</v>
      </c>
      <c r="AO136" t="s">
        <v>183</v>
      </c>
      <c r="AP136">
        <v>1</v>
      </c>
      <c r="AQ136" t="s">
        <v>170</v>
      </c>
      <c r="AR136" t="s">
        <v>184</v>
      </c>
      <c r="AS136" t="s">
        <v>185</v>
      </c>
      <c r="AU136">
        <v>45512</v>
      </c>
      <c r="AX136" t="s">
        <v>170</v>
      </c>
      <c r="AY136">
        <v>13993480</v>
      </c>
      <c r="BA136" t="s">
        <v>185</v>
      </c>
      <c r="BG136" t="s">
        <v>170</v>
      </c>
      <c r="BH136" t="s">
        <v>723</v>
      </c>
      <c r="BK136">
        <v>0</v>
      </c>
      <c r="BN136" t="s">
        <v>724</v>
      </c>
      <c r="BO136">
        <v>24</v>
      </c>
      <c r="BP136">
        <v>1</v>
      </c>
    </row>
    <row r="137" spans="1:68" x14ac:dyDescent="0.25">
      <c r="A137" t="s">
        <v>452</v>
      </c>
      <c r="B137" s="1">
        <v>46181</v>
      </c>
      <c r="E137" t="s">
        <v>170</v>
      </c>
      <c r="F137">
        <v>0</v>
      </c>
      <c r="G137" t="s">
        <v>170</v>
      </c>
      <c r="H137">
        <v>7.67</v>
      </c>
      <c r="J137" t="s">
        <v>170</v>
      </c>
      <c r="L137" t="s">
        <v>171</v>
      </c>
      <c r="P137">
        <v>0</v>
      </c>
      <c r="Q137" t="s">
        <v>173</v>
      </c>
      <c r="R137" t="s">
        <v>174</v>
      </c>
      <c r="S137" t="s">
        <v>175</v>
      </c>
      <c r="T137" t="s">
        <v>176</v>
      </c>
      <c r="U137" t="s">
        <v>177</v>
      </c>
      <c r="V137" t="s">
        <v>262</v>
      </c>
      <c r="Z137" t="s">
        <v>170</v>
      </c>
      <c r="AA137">
        <v>0</v>
      </c>
      <c r="AB137" t="s">
        <v>179</v>
      </c>
      <c r="AC137" t="s">
        <v>170</v>
      </c>
      <c r="AD137" t="s">
        <v>170</v>
      </c>
      <c r="AF137" t="s">
        <v>180</v>
      </c>
      <c r="AG137" t="s">
        <v>181</v>
      </c>
      <c r="AH137" t="s">
        <v>73</v>
      </c>
      <c r="AI137" t="s">
        <v>210</v>
      </c>
      <c r="AJ137">
        <v>1</v>
      </c>
      <c r="AL137" t="s">
        <v>170</v>
      </c>
      <c r="AM137" t="s">
        <v>170</v>
      </c>
      <c r="AN137" t="s">
        <v>170</v>
      </c>
      <c r="AO137" t="s">
        <v>183</v>
      </c>
      <c r="AP137">
        <v>1</v>
      </c>
      <c r="AQ137" t="s">
        <v>170</v>
      </c>
      <c r="AR137" t="s">
        <v>184</v>
      </c>
      <c r="AS137" t="s">
        <v>185</v>
      </c>
      <c r="AU137">
        <v>45512</v>
      </c>
      <c r="AX137" t="s">
        <v>170</v>
      </c>
      <c r="AY137">
        <v>14025117</v>
      </c>
      <c r="BA137" t="s">
        <v>185</v>
      </c>
      <c r="BG137" t="s">
        <v>170</v>
      </c>
      <c r="BH137" t="s">
        <v>452</v>
      </c>
      <c r="BK137">
        <v>0</v>
      </c>
      <c r="BN137" t="s">
        <v>725</v>
      </c>
      <c r="BO137">
        <v>24</v>
      </c>
      <c r="BP137">
        <v>1</v>
      </c>
    </row>
    <row r="138" spans="1:68" x14ac:dyDescent="0.25">
      <c r="A138" t="s">
        <v>339</v>
      </c>
      <c r="B138" s="1">
        <v>46181</v>
      </c>
      <c r="E138" t="s">
        <v>170</v>
      </c>
      <c r="F138">
        <v>0</v>
      </c>
      <c r="G138" t="s">
        <v>170</v>
      </c>
      <c r="H138">
        <v>8</v>
      </c>
      <c r="J138" t="s">
        <v>170</v>
      </c>
      <c r="L138" t="s">
        <v>347</v>
      </c>
      <c r="P138">
        <v>0</v>
      </c>
      <c r="Q138" t="s">
        <v>173</v>
      </c>
      <c r="R138" t="s">
        <v>174</v>
      </c>
      <c r="S138" t="s">
        <v>175</v>
      </c>
      <c r="T138" t="s">
        <v>176</v>
      </c>
      <c r="U138" t="s">
        <v>177</v>
      </c>
      <c r="V138" t="s">
        <v>262</v>
      </c>
      <c r="Z138" t="s">
        <v>170</v>
      </c>
      <c r="AA138">
        <v>0</v>
      </c>
      <c r="AB138" t="s">
        <v>179</v>
      </c>
      <c r="AC138" t="s">
        <v>170</v>
      </c>
      <c r="AD138" t="s">
        <v>170</v>
      </c>
      <c r="AF138" t="s">
        <v>180</v>
      </c>
      <c r="AG138" t="s">
        <v>181</v>
      </c>
      <c r="AH138" t="s">
        <v>72</v>
      </c>
      <c r="AI138" t="s">
        <v>210</v>
      </c>
      <c r="AJ138">
        <v>1</v>
      </c>
      <c r="AL138" t="s">
        <v>170</v>
      </c>
      <c r="AM138" t="s">
        <v>170</v>
      </c>
      <c r="AN138" t="s">
        <v>170</v>
      </c>
      <c r="AO138" t="s">
        <v>183</v>
      </c>
      <c r="AP138">
        <v>1</v>
      </c>
      <c r="AQ138" t="s">
        <v>170</v>
      </c>
      <c r="AR138" t="s">
        <v>184</v>
      </c>
      <c r="AS138" t="s">
        <v>185</v>
      </c>
      <c r="AU138">
        <v>45526</v>
      </c>
      <c r="AX138" t="s">
        <v>170</v>
      </c>
      <c r="AY138">
        <v>13072830</v>
      </c>
      <c r="BA138" t="s">
        <v>185</v>
      </c>
      <c r="BG138" t="s">
        <v>170</v>
      </c>
      <c r="BH138" t="s">
        <v>339</v>
      </c>
      <c r="BK138">
        <v>0</v>
      </c>
      <c r="BN138" t="s">
        <v>726</v>
      </c>
      <c r="BO138">
        <v>24</v>
      </c>
      <c r="BP138">
        <v>1</v>
      </c>
    </row>
    <row r="139" spans="1:68" x14ac:dyDescent="0.25">
      <c r="A139" t="s">
        <v>261</v>
      </c>
      <c r="B139" s="1">
        <v>46181</v>
      </c>
      <c r="E139" t="s">
        <v>170</v>
      </c>
      <c r="F139">
        <v>0</v>
      </c>
      <c r="G139" t="s">
        <v>170</v>
      </c>
      <c r="H139">
        <v>7.67</v>
      </c>
      <c r="J139" t="s">
        <v>170</v>
      </c>
      <c r="L139" t="s">
        <v>171</v>
      </c>
      <c r="P139">
        <v>0</v>
      </c>
      <c r="Q139" t="s">
        <v>197</v>
      </c>
      <c r="R139" t="s">
        <v>174</v>
      </c>
      <c r="S139" t="s">
        <v>175</v>
      </c>
      <c r="T139" t="s">
        <v>176</v>
      </c>
      <c r="U139" t="s">
        <v>209</v>
      </c>
      <c r="V139" t="s">
        <v>262</v>
      </c>
      <c r="Z139" t="s">
        <v>170</v>
      </c>
      <c r="AA139">
        <v>0</v>
      </c>
      <c r="AB139" t="s">
        <v>179</v>
      </c>
      <c r="AC139" t="s">
        <v>170</v>
      </c>
      <c r="AD139" t="s">
        <v>170</v>
      </c>
      <c r="AF139" t="s">
        <v>180</v>
      </c>
      <c r="AG139" t="s">
        <v>181</v>
      </c>
      <c r="AH139" t="s">
        <v>73</v>
      </c>
      <c r="AI139" t="s">
        <v>210</v>
      </c>
      <c r="AJ139">
        <v>1</v>
      </c>
      <c r="AL139" t="s">
        <v>170</v>
      </c>
      <c r="AM139" t="s">
        <v>170</v>
      </c>
      <c r="AN139" t="s">
        <v>170</v>
      </c>
      <c r="AO139" t="s">
        <v>183</v>
      </c>
      <c r="AP139">
        <v>1</v>
      </c>
      <c r="AQ139" t="s">
        <v>170</v>
      </c>
      <c r="AR139" t="s">
        <v>184</v>
      </c>
      <c r="AS139" t="s">
        <v>185</v>
      </c>
      <c r="AU139">
        <v>45568</v>
      </c>
      <c r="AX139" t="s">
        <v>170</v>
      </c>
      <c r="AY139">
        <v>6759899</v>
      </c>
      <c r="BA139" t="s">
        <v>185</v>
      </c>
      <c r="BG139" t="s">
        <v>170</v>
      </c>
      <c r="BH139" t="s">
        <v>261</v>
      </c>
      <c r="BK139">
        <v>0</v>
      </c>
      <c r="BN139" t="s">
        <v>727</v>
      </c>
      <c r="BO139">
        <v>24</v>
      </c>
      <c r="BP139">
        <v>1</v>
      </c>
    </row>
    <row r="140" spans="1:68" x14ac:dyDescent="0.25">
      <c r="A140" t="s">
        <v>263</v>
      </c>
      <c r="B140" s="1">
        <v>46181</v>
      </c>
      <c r="E140" t="s">
        <v>170</v>
      </c>
      <c r="F140">
        <v>0</v>
      </c>
      <c r="G140" t="s">
        <v>170</v>
      </c>
      <c r="H140">
        <v>7.67</v>
      </c>
      <c r="J140" t="s">
        <v>170</v>
      </c>
      <c r="L140" t="s">
        <v>171</v>
      </c>
      <c r="P140">
        <v>0</v>
      </c>
      <c r="Q140" t="s">
        <v>197</v>
      </c>
      <c r="R140" t="s">
        <v>174</v>
      </c>
      <c r="S140" t="s">
        <v>175</v>
      </c>
      <c r="T140" t="s">
        <v>176</v>
      </c>
      <c r="U140" t="s">
        <v>209</v>
      </c>
      <c r="V140" t="s">
        <v>262</v>
      </c>
      <c r="Z140" t="s">
        <v>170</v>
      </c>
      <c r="AA140">
        <v>0</v>
      </c>
      <c r="AB140" t="s">
        <v>179</v>
      </c>
      <c r="AC140" t="s">
        <v>170</v>
      </c>
      <c r="AD140" t="s">
        <v>170</v>
      </c>
      <c r="AF140" t="s">
        <v>180</v>
      </c>
      <c r="AG140" t="s">
        <v>181</v>
      </c>
      <c r="AH140" t="s">
        <v>73</v>
      </c>
      <c r="AI140" t="s">
        <v>210</v>
      </c>
      <c r="AJ140">
        <v>1</v>
      </c>
      <c r="AL140" t="s">
        <v>170</v>
      </c>
      <c r="AM140" t="s">
        <v>170</v>
      </c>
      <c r="AN140" t="s">
        <v>170</v>
      </c>
      <c r="AO140" t="s">
        <v>183</v>
      </c>
      <c r="AP140">
        <v>1</v>
      </c>
      <c r="AQ140" t="s">
        <v>170</v>
      </c>
      <c r="AR140" t="s">
        <v>184</v>
      </c>
      <c r="AS140" t="s">
        <v>185</v>
      </c>
      <c r="AU140">
        <v>45561</v>
      </c>
      <c r="AX140" t="s">
        <v>170</v>
      </c>
      <c r="AY140">
        <v>14108595</v>
      </c>
      <c r="BA140" t="s">
        <v>185</v>
      </c>
      <c r="BG140" t="s">
        <v>170</v>
      </c>
      <c r="BH140" t="s">
        <v>263</v>
      </c>
      <c r="BK140">
        <v>0</v>
      </c>
      <c r="BN140" t="s">
        <v>728</v>
      </c>
      <c r="BO140">
        <v>24</v>
      </c>
      <c r="BP140">
        <v>1</v>
      </c>
    </row>
    <row r="141" spans="1:68" x14ac:dyDescent="0.25">
      <c r="A141" t="s">
        <v>340</v>
      </c>
      <c r="B141" s="1">
        <v>46181</v>
      </c>
      <c r="C141" t="s">
        <v>170</v>
      </c>
      <c r="D141" t="s">
        <v>170</v>
      </c>
      <c r="E141" t="s">
        <v>170</v>
      </c>
      <c r="F141">
        <v>0</v>
      </c>
      <c r="G141" t="s">
        <v>170</v>
      </c>
      <c r="H141">
        <v>7.67</v>
      </c>
      <c r="J141" t="s">
        <v>170</v>
      </c>
      <c r="L141" t="s">
        <v>208</v>
      </c>
      <c r="P141">
        <v>0</v>
      </c>
      <c r="Q141" t="s">
        <v>197</v>
      </c>
      <c r="R141" t="s">
        <v>174</v>
      </c>
      <c r="S141" t="s">
        <v>190</v>
      </c>
      <c r="T141" t="s">
        <v>191</v>
      </c>
      <c r="U141" t="s">
        <v>215</v>
      </c>
      <c r="V141" t="s">
        <v>216</v>
      </c>
      <c r="Z141" t="s">
        <v>170</v>
      </c>
      <c r="AA141">
        <v>0</v>
      </c>
      <c r="AB141" t="s">
        <v>179</v>
      </c>
      <c r="AC141" t="s">
        <v>170</v>
      </c>
      <c r="AD141" t="s">
        <v>170</v>
      </c>
      <c r="AF141" t="s">
        <v>180</v>
      </c>
      <c r="AG141" t="s">
        <v>181</v>
      </c>
      <c r="AH141" t="s">
        <v>73</v>
      </c>
      <c r="AI141" t="s">
        <v>216</v>
      </c>
      <c r="AJ141">
        <v>1</v>
      </c>
      <c r="AL141" t="s">
        <v>170</v>
      </c>
      <c r="AM141" t="s">
        <v>170</v>
      </c>
      <c r="AN141" t="s">
        <v>170</v>
      </c>
      <c r="AO141" t="s">
        <v>183</v>
      </c>
      <c r="AP141">
        <v>1</v>
      </c>
      <c r="AQ141" t="s">
        <v>170</v>
      </c>
      <c r="AR141" t="s">
        <v>194</v>
      </c>
      <c r="AS141" t="s">
        <v>185</v>
      </c>
      <c r="AU141">
        <v>45536</v>
      </c>
      <c r="AX141" t="s">
        <v>170</v>
      </c>
      <c r="AY141">
        <v>1186</v>
      </c>
      <c r="BA141" t="s">
        <v>185</v>
      </c>
      <c r="BD141" t="s">
        <v>301</v>
      </c>
      <c r="BE141">
        <v>7.67</v>
      </c>
      <c r="BF141" t="s">
        <v>302</v>
      </c>
      <c r="BG141" t="s">
        <v>301</v>
      </c>
      <c r="BH141" t="s">
        <v>340</v>
      </c>
      <c r="BK141">
        <v>0</v>
      </c>
      <c r="BN141" t="s">
        <v>729</v>
      </c>
      <c r="BO141">
        <v>24</v>
      </c>
      <c r="BP141">
        <v>1</v>
      </c>
    </row>
    <row r="142" spans="1:68" ht="14.25" customHeight="1" x14ac:dyDescent="0.25">
      <c r="A142" t="s">
        <v>264</v>
      </c>
      <c r="B142" s="1">
        <v>46181</v>
      </c>
      <c r="E142" t="s">
        <v>170</v>
      </c>
      <c r="F142">
        <v>0</v>
      </c>
      <c r="G142" t="s">
        <v>170</v>
      </c>
      <c r="H142">
        <v>7.67</v>
      </c>
      <c r="J142" t="s">
        <v>170</v>
      </c>
      <c r="L142" t="s">
        <v>208</v>
      </c>
      <c r="P142">
        <v>0</v>
      </c>
      <c r="Q142" t="s">
        <v>197</v>
      </c>
      <c r="R142" t="s">
        <v>174</v>
      </c>
      <c r="S142" t="s">
        <v>190</v>
      </c>
      <c r="T142" t="s">
        <v>191</v>
      </c>
      <c r="U142" t="s">
        <v>215</v>
      </c>
      <c r="V142" t="s">
        <v>216</v>
      </c>
      <c r="Z142" t="s">
        <v>170</v>
      </c>
      <c r="AA142">
        <v>0</v>
      </c>
      <c r="AB142" t="s">
        <v>179</v>
      </c>
      <c r="AC142" t="s">
        <v>170</v>
      </c>
      <c r="AD142" t="s">
        <v>170</v>
      </c>
      <c r="AF142" t="s">
        <v>180</v>
      </c>
      <c r="AG142" t="s">
        <v>181</v>
      </c>
      <c r="AH142" t="s">
        <v>73</v>
      </c>
      <c r="AI142" t="s">
        <v>216</v>
      </c>
      <c r="AJ142">
        <v>1</v>
      </c>
      <c r="AL142" t="s">
        <v>170</v>
      </c>
      <c r="AM142" t="s">
        <v>170</v>
      </c>
      <c r="AN142" t="s">
        <v>170</v>
      </c>
      <c r="AO142" t="s">
        <v>183</v>
      </c>
      <c r="AP142">
        <v>1</v>
      </c>
      <c r="AQ142" t="s">
        <v>170</v>
      </c>
      <c r="AR142" t="s">
        <v>194</v>
      </c>
      <c r="AS142" t="s">
        <v>185</v>
      </c>
      <c r="AU142">
        <v>43678</v>
      </c>
      <c r="AX142" t="s">
        <v>170</v>
      </c>
      <c r="AY142">
        <v>879</v>
      </c>
      <c r="BA142" t="s">
        <v>185</v>
      </c>
      <c r="BG142" t="s">
        <v>170</v>
      </c>
      <c r="BH142" t="s">
        <v>264</v>
      </c>
      <c r="BK142">
        <v>0</v>
      </c>
      <c r="BN142" t="s">
        <v>730</v>
      </c>
      <c r="BO142">
        <v>24</v>
      </c>
      <c r="BP142">
        <v>1</v>
      </c>
    </row>
    <row r="143" spans="1:68" x14ac:dyDescent="0.25">
      <c r="A143" t="s">
        <v>341</v>
      </c>
      <c r="B143" s="1">
        <v>46181</v>
      </c>
      <c r="E143" t="s">
        <v>170</v>
      </c>
      <c r="F143">
        <v>0</v>
      </c>
      <c r="G143" t="s">
        <v>170</v>
      </c>
      <c r="H143">
        <v>8</v>
      </c>
      <c r="J143" t="s">
        <v>170</v>
      </c>
      <c r="L143" t="s">
        <v>187</v>
      </c>
      <c r="P143">
        <v>0</v>
      </c>
      <c r="Q143" t="s">
        <v>197</v>
      </c>
      <c r="R143" t="s">
        <v>174</v>
      </c>
      <c r="S143" t="s">
        <v>190</v>
      </c>
      <c r="T143" t="s">
        <v>191</v>
      </c>
      <c r="U143" t="s">
        <v>209</v>
      </c>
      <c r="V143" t="s">
        <v>210</v>
      </c>
      <c r="Z143" t="s">
        <v>170</v>
      </c>
      <c r="AA143">
        <v>0</v>
      </c>
      <c r="AB143" t="s">
        <v>179</v>
      </c>
      <c r="AC143" t="s">
        <v>170</v>
      </c>
      <c r="AD143" t="s">
        <v>170</v>
      </c>
      <c r="AF143" t="s">
        <v>180</v>
      </c>
      <c r="AG143" t="s">
        <v>181</v>
      </c>
      <c r="AH143" t="s">
        <v>72</v>
      </c>
      <c r="AI143" t="s">
        <v>210</v>
      </c>
      <c r="AJ143">
        <v>1</v>
      </c>
      <c r="AL143" t="s">
        <v>170</v>
      </c>
      <c r="AM143" t="s">
        <v>170</v>
      </c>
      <c r="AN143" t="s">
        <v>170</v>
      </c>
      <c r="AO143" t="s">
        <v>183</v>
      </c>
      <c r="AP143">
        <v>1</v>
      </c>
      <c r="AQ143" t="s">
        <v>170</v>
      </c>
      <c r="AR143" t="s">
        <v>184</v>
      </c>
      <c r="AS143" t="s">
        <v>185</v>
      </c>
      <c r="AU143">
        <v>44501</v>
      </c>
      <c r="AX143" t="s">
        <v>170</v>
      </c>
      <c r="AY143">
        <v>985</v>
      </c>
      <c r="BA143" t="s">
        <v>185</v>
      </c>
      <c r="BG143" t="s">
        <v>170</v>
      </c>
      <c r="BH143" t="s">
        <v>341</v>
      </c>
      <c r="BK143">
        <v>0</v>
      </c>
      <c r="BN143" t="s">
        <v>731</v>
      </c>
      <c r="BO143">
        <v>24</v>
      </c>
      <c r="BP143">
        <v>1</v>
      </c>
    </row>
    <row r="144" spans="1:68" x14ac:dyDescent="0.25">
      <c r="A144" t="s">
        <v>342</v>
      </c>
      <c r="B144" s="1">
        <v>46181</v>
      </c>
      <c r="E144" t="s">
        <v>170</v>
      </c>
      <c r="F144">
        <v>0</v>
      </c>
      <c r="G144" t="s">
        <v>170</v>
      </c>
      <c r="H144">
        <v>8</v>
      </c>
      <c r="J144" t="s">
        <v>170</v>
      </c>
      <c r="L144" t="s">
        <v>187</v>
      </c>
      <c r="P144">
        <v>0</v>
      </c>
      <c r="Q144" t="s">
        <v>197</v>
      </c>
      <c r="R144" t="s">
        <v>174</v>
      </c>
      <c r="S144" t="s">
        <v>190</v>
      </c>
      <c r="T144" t="s">
        <v>225</v>
      </c>
      <c r="U144" t="s">
        <v>209</v>
      </c>
      <c r="V144" t="s">
        <v>210</v>
      </c>
      <c r="Z144" t="s">
        <v>170</v>
      </c>
      <c r="AA144">
        <v>0</v>
      </c>
      <c r="AB144" t="s">
        <v>179</v>
      </c>
      <c r="AC144" t="s">
        <v>170</v>
      </c>
      <c r="AD144" t="s">
        <v>170</v>
      </c>
      <c r="AF144" t="s">
        <v>180</v>
      </c>
      <c r="AG144" t="s">
        <v>181</v>
      </c>
      <c r="AH144" t="s">
        <v>72</v>
      </c>
      <c r="AI144" t="s">
        <v>210</v>
      </c>
      <c r="AJ144">
        <v>1</v>
      </c>
      <c r="AL144" t="s">
        <v>170</v>
      </c>
      <c r="AM144" t="s">
        <v>170</v>
      </c>
      <c r="AN144" t="s">
        <v>170</v>
      </c>
      <c r="AO144" t="s">
        <v>183</v>
      </c>
      <c r="AP144">
        <v>1</v>
      </c>
      <c r="AQ144" t="s">
        <v>170</v>
      </c>
      <c r="AR144" t="s">
        <v>184</v>
      </c>
      <c r="AS144" t="s">
        <v>185</v>
      </c>
      <c r="AU144">
        <v>45778</v>
      </c>
      <c r="AX144" t="s">
        <v>170</v>
      </c>
      <c r="AY144">
        <v>1206</v>
      </c>
      <c r="BA144" t="s">
        <v>185</v>
      </c>
      <c r="BG144" t="s">
        <v>170</v>
      </c>
      <c r="BH144" t="s">
        <v>342</v>
      </c>
      <c r="BK144">
        <v>0</v>
      </c>
      <c r="BN144" t="s">
        <v>732</v>
      </c>
      <c r="BO144">
        <v>24</v>
      </c>
      <c r="BP144">
        <v>1</v>
      </c>
    </row>
    <row r="145" spans="1:68" x14ac:dyDescent="0.25">
      <c r="A145" t="s">
        <v>343</v>
      </c>
      <c r="B145" s="1">
        <v>46181</v>
      </c>
      <c r="E145" t="s">
        <v>170</v>
      </c>
      <c r="F145">
        <v>0</v>
      </c>
      <c r="G145" t="s">
        <v>170</v>
      </c>
      <c r="H145">
        <v>8</v>
      </c>
      <c r="J145" t="s">
        <v>170</v>
      </c>
      <c r="L145" t="s">
        <v>187</v>
      </c>
      <c r="P145">
        <v>0</v>
      </c>
      <c r="Q145" t="s">
        <v>197</v>
      </c>
      <c r="R145" t="s">
        <v>174</v>
      </c>
      <c r="S145" t="s">
        <v>190</v>
      </c>
      <c r="T145" t="s">
        <v>191</v>
      </c>
      <c r="U145" t="s">
        <v>209</v>
      </c>
      <c r="V145" t="s">
        <v>210</v>
      </c>
      <c r="Z145" t="s">
        <v>170</v>
      </c>
      <c r="AA145">
        <v>0</v>
      </c>
      <c r="AB145" t="s">
        <v>179</v>
      </c>
      <c r="AC145" t="s">
        <v>170</v>
      </c>
      <c r="AD145" t="s">
        <v>170</v>
      </c>
      <c r="AF145" t="s">
        <v>180</v>
      </c>
      <c r="AG145" t="s">
        <v>181</v>
      </c>
      <c r="AH145" t="s">
        <v>72</v>
      </c>
      <c r="AI145" t="s">
        <v>210</v>
      </c>
      <c r="AJ145">
        <v>1</v>
      </c>
      <c r="AL145" t="s">
        <v>170</v>
      </c>
      <c r="AM145" t="s">
        <v>170</v>
      </c>
      <c r="AN145" t="s">
        <v>170</v>
      </c>
      <c r="AO145" t="s">
        <v>183</v>
      </c>
      <c r="AP145">
        <v>1</v>
      </c>
      <c r="AQ145" t="s">
        <v>170</v>
      </c>
      <c r="AR145" t="s">
        <v>184</v>
      </c>
      <c r="AS145" t="s">
        <v>185</v>
      </c>
      <c r="AU145">
        <v>45627</v>
      </c>
      <c r="AX145" t="s">
        <v>170</v>
      </c>
      <c r="AY145">
        <v>1191</v>
      </c>
      <c r="BA145" t="s">
        <v>185</v>
      </c>
      <c r="BG145" t="s">
        <v>170</v>
      </c>
      <c r="BH145" t="s">
        <v>343</v>
      </c>
      <c r="BK145">
        <v>0</v>
      </c>
      <c r="BN145" t="s">
        <v>733</v>
      </c>
      <c r="BO145">
        <v>24</v>
      </c>
      <c r="BP145">
        <v>1</v>
      </c>
    </row>
    <row r="146" spans="1:68" x14ac:dyDescent="0.25">
      <c r="A146" t="s">
        <v>344</v>
      </c>
      <c r="B146" s="1">
        <v>46181</v>
      </c>
      <c r="E146" t="s">
        <v>170</v>
      </c>
      <c r="F146">
        <v>0</v>
      </c>
      <c r="G146" t="s">
        <v>170</v>
      </c>
      <c r="H146">
        <v>7.67</v>
      </c>
      <c r="J146" t="s">
        <v>170</v>
      </c>
      <c r="L146" t="s">
        <v>171</v>
      </c>
      <c r="P146">
        <v>0</v>
      </c>
      <c r="Q146" t="s">
        <v>173</v>
      </c>
      <c r="R146" t="s">
        <v>174</v>
      </c>
      <c r="S146" t="s">
        <v>175</v>
      </c>
      <c r="T146" t="s">
        <v>176</v>
      </c>
      <c r="U146" t="s">
        <v>177</v>
      </c>
      <c r="V146" t="s">
        <v>262</v>
      </c>
      <c r="Z146" t="s">
        <v>170</v>
      </c>
      <c r="AA146">
        <v>0</v>
      </c>
      <c r="AB146" t="s">
        <v>179</v>
      </c>
      <c r="AC146" t="s">
        <v>170</v>
      </c>
      <c r="AD146" t="s">
        <v>170</v>
      </c>
      <c r="AF146" t="s">
        <v>180</v>
      </c>
      <c r="AG146" t="s">
        <v>181</v>
      </c>
      <c r="AH146" t="s">
        <v>73</v>
      </c>
      <c r="AI146" t="s">
        <v>210</v>
      </c>
      <c r="AJ146">
        <v>1</v>
      </c>
      <c r="AL146" t="s">
        <v>170</v>
      </c>
      <c r="AM146" t="s">
        <v>170</v>
      </c>
      <c r="AN146" t="s">
        <v>170</v>
      </c>
      <c r="AO146" t="s">
        <v>183</v>
      </c>
      <c r="AP146">
        <v>1</v>
      </c>
      <c r="AQ146" t="s">
        <v>170</v>
      </c>
      <c r="AR146" t="s">
        <v>184</v>
      </c>
      <c r="AS146" t="s">
        <v>185</v>
      </c>
      <c r="AU146">
        <v>45670</v>
      </c>
      <c r="AX146" t="s">
        <v>170</v>
      </c>
      <c r="AY146">
        <v>14700037</v>
      </c>
      <c r="BA146" t="s">
        <v>185</v>
      </c>
      <c r="BG146" t="s">
        <v>170</v>
      </c>
      <c r="BH146" t="s">
        <v>344</v>
      </c>
      <c r="BK146">
        <v>0</v>
      </c>
      <c r="BN146" t="s">
        <v>734</v>
      </c>
      <c r="BO146">
        <v>24</v>
      </c>
      <c r="BP146">
        <v>1</v>
      </c>
    </row>
    <row r="147" spans="1:68" x14ac:dyDescent="0.25">
      <c r="A147" t="s">
        <v>345</v>
      </c>
      <c r="B147" s="1">
        <v>46181</v>
      </c>
      <c r="E147" t="s">
        <v>170</v>
      </c>
      <c r="F147">
        <v>0</v>
      </c>
      <c r="G147" t="s">
        <v>170</v>
      </c>
      <c r="H147">
        <v>8</v>
      </c>
      <c r="J147" t="s">
        <v>170</v>
      </c>
      <c r="L147" t="s">
        <v>347</v>
      </c>
      <c r="P147">
        <v>0</v>
      </c>
      <c r="Q147" t="s">
        <v>173</v>
      </c>
      <c r="R147" t="s">
        <v>174</v>
      </c>
      <c r="S147" t="s">
        <v>175</v>
      </c>
      <c r="T147" t="s">
        <v>176</v>
      </c>
      <c r="U147" t="s">
        <v>177</v>
      </c>
      <c r="V147" t="s">
        <v>262</v>
      </c>
      <c r="Z147" t="s">
        <v>170</v>
      </c>
      <c r="AA147">
        <v>0</v>
      </c>
      <c r="AB147" t="s">
        <v>179</v>
      </c>
      <c r="AC147" t="s">
        <v>170</v>
      </c>
      <c r="AD147" t="s">
        <v>170</v>
      </c>
      <c r="AF147" t="s">
        <v>180</v>
      </c>
      <c r="AG147" t="s">
        <v>181</v>
      </c>
      <c r="AH147" t="s">
        <v>72</v>
      </c>
      <c r="AI147" t="s">
        <v>210</v>
      </c>
      <c r="AJ147">
        <v>1</v>
      </c>
      <c r="AL147" t="s">
        <v>170</v>
      </c>
      <c r="AM147" t="s">
        <v>170</v>
      </c>
      <c r="AN147" t="s">
        <v>170</v>
      </c>
      <c r="AO147" t="s">
        <v>183</v>
      </c>
      <c r="AP147">
        <v>1</v>
      </c>
      <c r="AQ147" t="s">
        <v>170</v>
      </c>
      <c r="AR147" t="s">
        <v>184</v>
      </c>
      <c r="AS147" t="s">
        <v>185</v>
      </c>
      <c r="AU147">
        <v>45715</v>
      </c>
      <c r="AX147" t="s">
        <v>170</v>
      </c>
      <c r="AY147">
        <v>14735561</v>
      </c>
      <c r="BA147" t="s">
        <v>185</v>
      </c>
      <c r="BG147" t="s">
        <v>170</v>
      </c>
      <c r="BH147" t="s">
        <v>345</v>
      </c>
      <c r="BK147">
        <v>0</v>
      </c>
      <c r="BN147" t="s">
        <v>735</v>
      </c>
      <c r="BO147">
        <v>24</v>
      </c>
      <c r="BP147">
        <v>1</v>
      </c>
    </row>
    <row r="148" spans="1:68" x14ac:dyDescent="0.25">
      <c r="A148" t="s">
        <v>736</v>
      </c>
      <c r="B148" s="1">
        <v>46181</v>
      </c>
      <c r="E148" t="s">
        <v>170</v>
      </c>
      <c r="F148">
        <v>0</v>
      </c>
      <c r="G148" t="s">
        <v>170</v>
      </c>
      <c r="H148">
        <v>8</v>
      </c>
      <c r="J148" t="s">
        <v>170</v>
      </c>
      <c r="L148" t="s">
        <v>347</v>
      </c>
      <c r="P148">
        <v>0</v>
      </c>
      <c r="Q148" t="s">
        <v>173</v>
      </c>
      <c r="R148" t="s">
        <v>174</v>
      </c>
      <c r="S148" t="s">
        <v>175</v>
      </c>
      <c r="T148" t="s">
        <v>176</v>
      </c>
      <c r="U148" t="s">
        <v>177</v>
      </c>
      <c r="V148" t="s">
        <v>262</v>
      </c>
      <c r="Z148" t="s">
        <v>170</v>
      </c>
      <c r="AA148">
        <v>0</v>
      </c>
      <c r="AB148" t="s">
        <v>179</v>
      </c>
      <c r="AC148" t="s">
        <v>170</v>
      </c>
      <c r="AD148" t="s">
        <v>170</v>
      </c>
      <c r="AF148" t="s">
        <v>180</v>
      </c>
      <c r="AG148" t="s">
        <v>181</v>
      </c>
      <c r="AH148" t="s">
        <v>72</v>
      </c>
      <c r="AI148" t="s">
        <v>210</v>
      </c>
      <c r="AJ148">
        <v>1</v>
      </c>
      <c r="AL148" t="s">
        <v>170</v>
      </c>
      <c r="AM148" t="s">
        <v>170</v>
      </c>
      <c r="AN148" t="s">
        <v>170</v>
      </c>
      <c r="AO148" t="s">
        <v>183</v>
      </c>
      <c r="AP148">
        <v>1</v>
      </c>
      <c r="AQ148" t="s">
        <v>170</v>
      </c>
      <c r="AR148" t="s">
        <v>184</v>
      </c>
      <c r="AS148" t="s">
        <v>185</v>
      </c>
      <c r="AU148">
        <v>45772</v>
      </c>
      <c r="AX148" t="s">
        <v>170</v>
      </c>
      <c r="AY148">
        <v>14958447</v>
      </c>
      <c r="BA148" t="s">
        <v>185</v>
      </c>
      <c r="BG148" t="s">
        <v>170</v>
      </c>
      <c r="BH148" t="s">
        <v>736</v>
      </c>
      <c r="BK148">
        <v>0</v>
      </c>
      <c r="BN148" t="s">
        <v>737</v>
      </c>
      <c r="BO148">
        <v>24</v>
      </c>
      <c r="BP148">
        <v>1</v>
      </c>
    </row>
    <row r="149" spans="1:68" x14ac:dyDescent="0.25">
      <c r="A149" t="s">
        <v>453</v>
      </c>
      <c r="B149" s="1">
        <v>46181</v>
      </c>
      <c r="E149" t="s">
        <v>170</v>
      </c>
      <c r="F149">
        <v>0</v>
      </c>
      <c r="G149" t="s">
        <v>170</v>
      </c>
      <c r="H149">
        <v>8</v>
      </c>
      <c r="J149" t="s">
        <v>170</v>
      </c>
      <c r="L149" t="s">
        <v>347</v>
      </c>
      <c r="P149">
        <v>0</v>
      </c>
      <c r="Q149" t="s">
        <v>197</v>
      </c>
      <c r="R149" t="s">
        <v>174</v>
      </c>
      <c r="S149" t="s">
        <v>175</v>
      </c>
      <c r="T149" t="s">
        <v>176</v>
      </c>
      <c r="U149" t="s">
        <v>209</v>
      </c>
      <c r="V149" t="s">
        <v>262</v>
      </c>
      <c r="Z149" t="s">
        <v>170</v>
      </c>
      <c r="AA149">
        <v>0</v>
      </c>
      <c r="AB149" t="s">
        <v>179</v>
      </c>
      <c r="AC149" t="s">
        <v>170</v>
      </c>
      <c r="AD149" t="s">
        <v>170</v>
      </c>
      <c r="AF149" t="s">
        <v>180</v>
      </c>
      <c r="AG149" t="s">
        <v>181</v>
      </c>
      <c r="AH149" t="s">
        <v>72</v>
      </c>
      <c r="AI149" t="s">
        <v>210</v>
      </c>
      <c r="AJ149">
        <v>1</v>
      </c>
      <c r="AL149" t="s">
        <v>170</v>
      </c>
      <c r="AM149" t="s">
        <v>170</v>
      </c>
      <c r="AN149" t="s">
        <v>170</v>
      </c>
      <c r="AO149" t="s">
        <v>183</v>
      </c>
      <c r="AP149">
        <v>1</v>
      </c>
      <c r="AQ149" t="s">
        <v>170</v>
      </c>
      <c r="AR149" t="s">
        <v>184</v>
      </c>
      <c r="AS149" t="s">
        <v>185</v>
      </c>
      <c r="AU149">
        <v>45772</v>
      </c>
      <c r="AX149" t="s">
        <v>170</v>
      </c>
      <c r="AY149">
        <v>8483489</v>
      </c>
      <c r="BA149" t="s">
        <v>185</v>
      </c>
      <c r="BG149" t="s">
        <v>170</v>
      </c>
      <c r="BH149" t="s">
        <v>453</v>
      </c>
      <c r="BK149">
        <v>0</v>
      </c>
      <c r="BN149" t="s">
        <v>738</v>
      </c>
      <c r="BO149">
        <v>24</v>
      </c>
      <c r="BP149">
        <v>1</v>
      </c>
    </row>
    <row r="150" spans="1:68" x14ac:dyDescent="0.25">
      <c r="A150" t="s">
        <v>739</v>
      </c>
      <c r="B150" s="1">
        <v>46181</v>
      </c>
      <c r="E150" t="s">
        <v>170</v>
      </c>
      <c r="F150">
        <v>0</v>
      </c>
      <c r="G150" t="s">
        <v>170</v>
      </c>
      <c r="H150">
        <v>8</v>
      </c>
      <c r="J150" t="s">
        <v>170</v>
      </c>
      <c r="L150" t="s">
        <v>347</v>
      </c>
      <c r="P150">
        <v>0</v>
      </c>
      <c r="Q150" t="s">
        <v>197</v>
      </c>
      <c r="R150" t="s">
        <v>174</v>
      </c>
      <c r="S150" t="s">
        <v>175</v>
      </c>
      <c r="T150" t="s">
        <v>348</v>
      </c>
      <c r="U150" t="s">
        <v>349</v>
      </c>
      <c r="V150" t="s">
        <v>262</v>
      </c>
      <c r="Z150" t="s">
        <v>170</v>
      </c>
      <c r="AA150">
        <v>0</v>
      </c>
      <c r="AB150" t="s">
        <v>179</v>
      </c>
      <c r="AC150" t="s">
        <v>170</v>
      </c>
      <c r="AD150" t="s">
        <v>170</v>
      </c>
      <c r="AF150" t="s">
        <v>180</v>
      </c>
      <c r="AG150" t="s">
        <v>181</v>
      </c>
      <c r="AH150" t="s">
        <v>72</v>
      </c>
      <c r="AI150" t="s">
        <v>210</v>
      </c>
      <c r="AJ150">
        <v>1</v>
      </c>
      <c r="AL150" t="s">
        <v>170</v>
      </c>
      <c r="AM150" t="s">
        <v>170</v>
      </c>
      <c r="AN150" t="s">
        <v>170</v>
      </c>
      <c r="AO150" t="s">
        <v>183</v>
      </c>
      <c r="AP150">
        <v>1</v>
      </c>
      <c r="AQ150" t="s">
        <v>170</v>
      </c>
      <c r="AR150" t="s">
        <v>184</v>
      </c>
      <c r="AS150" t="s">
        <v>185</v>
      </c>
      <c r="AU150">
        <v>45831</v>
      </c>
      <c r="AX150" t="s">
        <v>170</v>
      </c>
      <c r="AY150">
        <v>15100568</v>
      </c>
      <c r="BA150" t="s">
        <v>185</v>
      </c>
      <c r="BG150" t="s">
        <v>170</v>
      </c>
      <c r="BH150" t="s">
        <v>739</v>
      </c>
      <c r="BK150">
        <v>0</v>
      </c>
      <c r="BN150" t="s">
        <v>740</v>
      </c>
      <c r="BO150">
        <v>24</v>
      </c>
      <c r="BP150">
        <v>1</v>
      </c>
    </row>
    <row r="151" spans="1:68" x14ac:dyDescent="0.25">
      <c r="A151" t="s">
        <v>454</v>
      </c>
      <c r="B151" s="1">
        <v>46181</v>
      </c>
      <c r="E151" t="s">
        <v>170</v>
      </c>
      <c r="F151">
        <v>0</v>
      </c>
      <c r="G151" t="s">
        <v>170</v>
      </c>
      <c r="H151">
        <v>7.67</v>
      </c>
      <c r="J151" t="s">
        <v>170</v>
      </c>
      <c r="L151" t="s">
        <v>171</v>
      </c>
      <c r="P151">
        <v>0</v>
      </c>
      <c r="Q151" t="s">
        <v>197</v>
      </c>
      <c r="R151" t="s">
        <v>174</v>
      </c>
      <c r="S151" t="s">
        <v>175</v>
      </c>
      <c r="T151" t="s">
        <v>348</v>
      </c>
      <c r="U151" t="s">
        <v>349</v>
      </c>
      <c r="V151" t="s">
        <v>262</v>
      </c>
      <c r="Z151" t="s">
        <v>170</v>
      </c>
      <c r="AA151">
        <v>0</v>
      </c>
      <c r="AB151" t="s">
        <v>179</v>
      </c>
      <c r="AC151" t="s">
        <v>170</v>
      </c>
      <c r="AD151" t="s">
        <v>170</v>
      </c>
      <c r="AF151" t="s">
        <v>180</v>
      </c>
      <c r="AG151" t="s">
        <v>181</v>
      </c>
      <c r="AH151" t="s">
        <v>73</v>
      </c>
      <c r="AI151" t="s">
        <v>210</v>
      </c>
      <c r="AJ151">
        <v>1</v>
      </c>
      <c r="AL151" t="s">
        <v>170</v>
      </c>
      <c r="AM151" t="s">
        <v>170</v>
      </c>
      <c r="AN151" t="s">
        <v>170</v>
      </c>
      <c r="AO151" t="s">
        <v>183</v>
      </c>
      <c r="AP151">
        <v>1</v>
      </c>
      <c r="AQ151" t="s">
        <v>170</v>
      </c>
      <c r="AR151" t="s">
        <v>184</v>
      </c>
      <c r="AS151" t="s">
        <v>185</v>
      </c>
      <c r="AU151">
        <v>45834</v>
      </c>
      <c r="AX151" t="s">
        <v>170</v>
      </c>
      <c r="AY151">
        <v>14905341</v>
      </c>
      <c r="BA151" t="s">
        <v>185</v>
      </c>
      <c r="BG151" t="s">
        <v>170</v>
      </c>
      <c r="BH151" t="s">
        <v>454</v>
      </c>
      <c r="BK151">
        <v>0</v>
      </c>
      <c r="BN151" t="s">
        <v>741</v>
      </c>
      <c r="BO151">
        <v>24</v>
      </c>
      <c r="BP151">
        <v>1</v>
      </c>
    </row>
    <row r="152" spans="1:68" x14ac:dyDescent="0.25">
      <c r="A152" t="s">
        <v>350</v>
      </c>
      <c r="B152" s="1">
        <v>46181</v>
      </c>
      <c r="E152" t="s">
        <v>170</v>
      </c>
      <c r="F152">
        <v>0</v>
      </c>
      <c r="G152" t="s">
        <v>170</v>
      </c>
      <c r="H152">
        <v>7.67</v>
      </c>
      <c r="J152" t="s">
        <v>170</v>
      </c>
      <c r="L152" t="s">
        <v>171</v>
      </c>
      <c r="P152">
        <v>0</v>
      </c>
      <c r="Q152" t="s">
        <v>197</v>
      </c>
      <c r="R152" t="s">
        <v>174</v>
      </c>
      <c r="S152" t="s">
        <v>175</v>
      </c>
      <c r="T152" t="s">
        <v>348</v>
      </c>
      <c r="U152" t="s">
        <v>349</v>
      </c>
      <c r="V152" t="s">
        <v>262</v>
      </c>
      <c r="Z152" t="s">
        <v>170</v>
      </c>
      <c r="AA152">
        <v>0</v>
      </c>
      <c r="AB152" t="s">
        <v>179</v>
      </c>
      <c r="AC152" t="s">
        <v>170</v>
      </c>
      <c r="AD152" t="s">
        <v>170</v>
      </c>
      <c r="AF152" t="s">
        <v>180</v>
      </c>
      <c r="AG152" t="s">
        <v>181</v>
      </c>
      <c r="AH152" t="s">
        <v>73</v>
      </c>
      <c r="AI152" t="s">
        <v>210</v>
      </c>
      <c r="AJ152">
        <v>1</v>
      </c>
      <c r="AL152" t="s">
        <v>170</v>
      </c>
      <c r="AM152" t="s">
        <v>170</v>
      </c>
      <c r="AN152" t="s">
        <v>170</v>
      </c>
      <c r="AO152" t="s">
        <v>183</v>
      </c>
      <c r="AP152">
        <v>1</v>
      </c>
      <c r="AQ152" t="s">
        <v>170</v>
      </c>
      <c r="AR152" t="s">
        <v>184</v>
      </c>
      <c r="AS152" t="s">
        <v>185</v>
      </c>
      <c r="AU152">
        <v>45824</v>
      </c>
      <c r="AX152" t="s">
        <v>170</v>
      </c>
      <c r="AY152">
        <v>7347913</v>
      </c>
      <c r="BA152" t="s">
        <v>185</v>
      </c>
      <c r="BG152" t="s">
        <v>170</v>
      </c>
      <c r="BH152" t="s">
        <v>350</v>
      </c>
      <c r="BK152">
        <v>0</v>
      </c>
      <c r="BN152" t="s">
        <v>742</v>
      </c>
      <c r="BO152">
        <v>24</v>
      </c>
      <c r="BP152">
        <v>1</v>
      </c>
    </row>
    <row r="153" spans="1:68" x14ac:dyDescent="0.25">
      <c r="A153" t="s">
        <v>226</v>
      </c>
      <c r="B153" s="1">
        <v>46181</v>
      </c>
      <c r="E153" t="s">
        <v>170</v>
      </c>
      <c r="F153">
        <v>0</v>
      </c>
      <c r="G153" t="s">
        <v>170</v>
      </c>
      <c r="H153">
        <v>8</v>
      </c>
      <c r="J153" t="s">
        <v>170</v>
      </c>
      <c r="L153" t="s">
        <v>187</v>
      </c>
      <c r="P153">
        <v>0</v>
      </c>
      <c r="Q153" t="s">
        <v>197</v>
      </c>
      <c r="R153" t="s">
        <v>174</v>
      </c>
      <c r="S153" t="s">
        <v>190</v>
      </c>
      <c r="T153" t="s">
        <v>191</v>
      </c>
      <c r="U153" t="s">
        <v>209</v>
      </c>
      <c r="V153" t="s">
        <v>210</v>
      </c>
      <c r="Z153" t="s">
        <v>170</v>
      </c>
      <c r="AA153">
        <v>0</v>
      </c>
      <c r="AB153" t="s">
        <v>179</v>
      </c>
      <c r="AC153" t="s">
        <v>170</v>
      </c>
      <c r="AD153" t="s">
        <v>170</v>
      </c>
      <c r="AF153" t="s">
        <v>180</v>
      </c>
      <c r="AG153" t="s">
        <v>181</v>
      </c>
      <c r="AH153" t="s">
        <v>72</v>
      </c>
      <c r="AI153" t="s">
        <v>210</v>
      </c>
      <c r="AJ153">
        <v>1</v>
      </c>
      <c r="AL153" t="s">
        <v>170</v>
      </c>
      <c r="AM153" t="s">
        <v>170</v>
      </c>
      <c r="AN153" t="s">
        <v>170</v>
      </c>
      <c r="AO153" t="s">
        <v>183</v>
      </c>
      <c r="AP153">
        <v>1</v>
      </c>
      <c r="AQ153" t="s">
        <v>170</v>
      </c>
      <c r="AR153" t="s">
        <v>184</v>
      </c>
      <c r="AS153" t="s">
        <v>185</v>
      </c>
      <c r="AU153">
        <v>45627</v>
      </c>
      <c r="AX153" t="s">
        <v>170</v>
      </c>
      <c r="AY153">
        <v>1190</v>
      </c>
      <c r="BA153" t="s">
        <v>185</v>
      </c>
      <c r="BB153" t="s">
        <v>267</v>
      </c>
      <c r="BG153" t="s">
        <v>170</v>
      </c>
      <c r="BH153" t="s">
        <v>743</v>
      </c>
      <c r="BJ153" t="s">
        <v>211</v>
      </c>
      <c r="BK153">
        <v>0</v>
      </c>
      <c r="BN153" t="s">
        <v>744</v>
      </c>
      <c r="BO153">
        <v>24</v>
      </c>
      <c r="BP153">
        <v>1</v>
      </c>
    </row>
    <row r="154" spans="1:68" x14ac:dyDescent="0.25">
      <c r="A154" t="s">
        <v>268</v>
      </c>
      <c r="B154" s="1">
        <v>46181</v>
      </c>
      <c r="E154" t="s">
        <v>170</v>
      </c>
      <c r="F154">
        <v>0</v>
      </c>
      <c r="G154" t="s">
        <v>170</v>
      </c>
      <c r="H154">
        <v>8</v>
      </c>
      <c r="J154" t="s">
        <v>170</v>
      </c>
      <c r="L154" t="s">
        <v>347</v>
      </c>
      <c r="P154">
        <v>0</v>
      </c>
      <c r="Q154" t="s">
        <v>197</v>
      </c>
      <c r="R154" t="s">
        <v>174</v>
      </c>
      <c r="S154" t="s">
        <v>175</v>
      </c>
      <c r="T154" t="s">
        <v>176</v>
      </c>
      <c r="U154" t="s">
        <v>209</v>
      </c>
      <c r="V154" t="s">
        <v>262</v>
      </c>
      <c r="Z154" t="s">
        <v>170</v>
      </c>
      <c r="AA154">
        <v>0</v>
      </c>
      <c r="AB154" t="s">
        <v>179</v>
      </c>
      <c r="AC154" t="s">
        <v>170</v>
      </c>
      <c r="AD154" t="s">
        <v>170</v>
      </c>
      <c r="AF154" t="s">
        <v>180</v>
      </c>
      <c r="AG154" t="s">
        <v>181</v>
      </c>
      <c r="AH154" t="s">
        <v>72</v>
      </c>
      <c r="AI154" t="s">
        <v>210</v>
      </c>
      <c r="AJ154">
        <v>1</v>
      </c>
      <c r="AL154" t="s">
        <v>170</v>
      </c>
      <c r="AM154" t="s">
        <v>170</v>
      </c>
      <c r="AN154" t="s">
        <v>170</v>
      </c>
      <c r="AO154" t="s">
        <v>183</v>
      </c>
      <c r="AP154">
        <v>1</v>
      </c>
      <c r="AQ154" t="s">
        <v>170</v>
      </c>
      <c r="AR154" t="s">
        <v>184</v>
      </c>
      <c r="AS154" t="s">
        <v>185</v>
      </c>
      <c r="AU154">
        <v>45883</v>
      </c>
      <c r="AX154" t="s">
        <v>170</v>
      </c>
      <c r="AY154">
        <v>14944902</v>
      </c>
      <c r="BA154" t="s">
        <v>185</v>
      </c>
      <c r="BG154" t="s">
        <v>170</v>
      </c>
      <c r="BH154" t="s">
        <v>268</v>
      </c>
      <c r="BK154">
        <v>0</v>
      </c>
      <c r="BN154" t="s">
        <v>745</v>
      </c>
      <c r="BO154">
        <v>24</v>
      </c>
      <c r="BP154">
        <v>1</v>
      </c>
    </row>
    <row r="155" spans="1:68" x14ac:dyDescent="0.25">
      <c r="A155" t="s">
        <v>456</v>
      </c>
      <c r="B155" s="1">
        <v>46181</v>
      </c>
      <c r="E155" t="s">
        <v>170</v>
      </c>
      <c r="F155">
        <v>0</v>
      </c>
      <c r="G155" t="s">
        <v>170</v>
      </c>
      <c r="H155">
        <v>8</v>
      </c>
      <c r="J155" t="s">
        <v>170</v>
      </c>
      <c r="L155" t="s">
        <v>347</v>
      </c>
      <c r="P155">
        <v>0</v>
      </c>
      <c r="Q155" t="s">
        <v>197</v>
      </c>
      <c r="R155" t="s">
        <v>174</v>
      </c>
      <c r="S155" t="s">
        <v>175</v>
      </c>
      <c r="T155" t="s">
        <v>176</v>
      </c>
      <c r="U155" t="s">
        <v>209</v>
      </c>
      <c r="V155" t="s">
        <v>262</v>
      </c>
      <c r="Z155" t="s">
        <v>170</v>
      </c>
      <c r="AA155">
        <v>0</v>
      </c>
      <c r="AB155" t="s">
        <v>179</v>
      </c>
      <c r="AC155" t="s">
        <v>170</v>
      </c>
      <c r="AD155" t="s">
        <v>170</v>
      </c>
      <c r="AF155" t="s">
        <v>180</v>
      </c>
      <c r="AG155" t="s">
        <v>181</v>
      </c>
      <c r="AH155" t="s">
        <v>72</v>
      </c>
      <c r="AI155" t="s">
        <v>210</v>
      </c>
      <c r="AJ155">
        <v>1</v>
      </c>
      <c r="AL155" t="s">
        <v>170</v>
      </c>
      <c r="AM155" t="s">
        <v>170</v>
      </c>
      <c r="AN155" t="s">
        <v>170</v>
      </c>
      <c r="AO155" t="s">
        <v>183</v>
      </c>
      <c r="AP155">
        <v>1</v>
      </c>
      <c r="AQ155" t="s">
        <v>170</v>
      </c>
      <c r="AR155" t="s">
        <v>184</v>
      </c>
      <c r="AS155" t="s">
        <v>185</v>
      </c>
      <c r="AU155">
        <v>45897</v>
      </c>
      <c r="AX155" t="s">
        <v>170</v>
      </c>
      <c r="AY155">
        <v>8265194</v>
      </c>
      <c r="BA155" t="s">
        <v>185</v>
      </c>
      <c r="BG155" t="s">
        <v>170</v>
      </c>
      <c r="BH155" t="s">
        <v>456</v>
      </c>
      <c r="BK155">
        <v>0</v>
      </c>
      <c r="BN155" t="s">
        <v>746</v>
      </c>
      <c r="BO155">
        <v>24</v>
      </c>
      <c r="BP155">
        <v>1</v>
      </c>
    </row>
    <row r="156" spans="1:68" x14ac:dyDescent="0.25">
      <c r="A156" t="s">
        <v>352</v>
      </c>
      <c r="B156" s="1">
        <v>46181</v>
      </c>
      <c r="E156" t="s">
        <v>170</v>
      </c>
      <c r="F156">
        <v>0</v>
      </c>
      <c r="G156" t="s">
        <v>170</v>
      </c>
      <c r="H156">
        <v>8</v>
      </c>
      <c r="J156" t="s">
        <v>170</v>
      </c>
      <c r="L156" t="s">
        <v>347</v>
      </c>
      <c r="P156">
        <v>0</v>
      </c>
      <c r="Q156" t="s">
        <v>197</v>
      </c>
      <c r="R156" t="s">
        <v>174</v>
      </c>
      <c r="S156" t="s">
        <v>175</v>
      </c>
      <c r="T156" t="s">
        <v>348</v>
      </c>
      <c r="U156" t="s">
        <v>349</v>
      </c>
      <c r="V156" t="s">
        <v>262</v>
      </c>
      <c r="Z156" t="s">
        <v>170</v>
      </c>
      <c r="AA156">
        <v>0</v>
      </c>
      <c r="AB156" t="s">
        <v>179</v>
      </c>
      <c r="AC156" t="s">
        <v>170</v>
      </c>
      <c r="AD156" t="s">
        <v>170</v>
      </c>
      <c r="AF156" t="s">
        <v>180</v>
      </c>
      <c r="AG156" t="s">
        <v>181</v>
      </c>
      <c r="AH156" t="s">
        <v>72</v>
      </c>
      <c r="AI156" t="s">
        <v>210</v>
      </c>
      <c r="AJ156">
        <v>1</v>
      </c>
      <c r="AL156" t="s">
        <v>170</v>
      </c>
      <c r="AM156" t="s">
        <v>170</v>
      </c>
      <c r="AN156" t="s">
        <v>170</v>
      </c>
      <c r="AO156" t="s">
        <v>183</v>
      </c>
      <c r="AP156">
        <v>1</v>
      </c>
      <c r="AQ156" t="s">
        <v>170</v>
      </c>
      <c r="AR156" t="s">
        <v>184</v>
      </c>
      <c r="AS156" t="s">
        <v>185</v>
      </c>
      <c r="AU156">
        <v>46146</v>
      </c>
      <c r="AX156" t="s">
        <v>170</v>
      </c>
      <c r="AY156">
        <v>16080053</v>
      </c>
      <c r="BA156" t="s">
        <v>185</v>
      </c>
      <c r="BG156" t="s">
        <v>170</v>
      </c>
      <c r="BH156" t="s">
        <v>352</v>
      </c>
      <c r="BK156">
        <v>0</v>
      </c>
      <c r="BN156" t="s">
        <v>747</v>
      </c>
      <c r="BO156">
        <v>24</v>
      </c>
      <c r="BP156">
        <v>1</v>
      </c>
    </row>
    <row r="157" spans="1:68" x14ac:dyDescent="0.25">
      <c r="A157" t="s">
        <v>457</v>
      </c>
      <c r="B157" s="1">
        <v>46181</v>
      </c>
      <c r="E157" t="s">
        <v>170</v>
      </c>
      <c r="F157">
        <v>0</v>
      </c>
      <c r="G157" t="s">
        <v>170</v>
      </c>
      <c r="H157">
        <v>7.67</v>
      </c>
      <c r="J157" t="s">
        <v>170</v>
      </c>
      <c r="L157" t="s">
        <v>171</v>
      </c>
      <c r="P157">
        <v>0</v>
      </c>
      <c r="Q157" t="s">
        <v>197</v>
      </c>
      <c r="R157" t="s">
        <v>174</v>
      </c>
      <c r="S157" t="s">
        <v>175</v>
      </c>
      <c r="T157" t="s">
        <v>348</v>
      </c>
      <c r="U157" t="s">
        <v>349</v>
      </c>
      <c r="V157" t="s">
        <v>262</v>
      </c>
      <c r="Z157" t="s">
        <v>170</v>
      </c>
      <c r="AA157">
        <v>0</v>
      </c>
      <c r="AB157" t="s">
        <v>179</v>
      </c>
      <c r="AC157" t="s">
        <v>170</v>
      </c>
      <c r="AD157" t="s">
        <v>170</v>
      </c>
      <c r="AF157" t="s">
        <v>180</v>
      </c>
      <c r="AG157" t="s">
        <v>181</v>
      </c>
      <c r="AH157" t="s">
        <v>73</v>
      </c>
      <c r="AI157" t="s">
        <v>210</v>
      </c>
      <c r="AJ157">
        <v>1</v>
      </c>
      <c r="AL157" t="s">
        <v>170</v>
      </c>
      <c r="AM157" t="s">
        <v>170</v>
      </c>
      <c r="AN157" t="s">
        <v>170</v>
      </c>
      <c r="AO157" t="s">
        <v>183</v>
      </c>
      <c r="AP157">
        <v>1</v>
      </c>
      <c r="AQ157" t="s">
        <v>170</v>
      </c>
      <c r="AR157" t="s">
        <v>184</v>
      </c>
      <c r="AS157" t="s">
        <v>185</v>
      </c>
      <c r="AU157">
        <v>46139</v>
      </c>
      <c r="AX157" t="s">
        <v>170</v>
      </c>
      <c r="AY157">
        <v>13284318</v>
      </c>
      <c r="BA157" t="s">
        <v>185</v>
      </c>
      <c r="BG157" t="s">
        <v>170</v>
      </c>
      <c r="BH157" t="s">
        <v>457</v>
      </c>
      <c r="BK157">
        <v>0</v>
      </c>
      <c r="BN157" t="s">
        <v>748</v>
      </c>
      <c r="BO157">
        <v>24</v>
      </c>
      <c r="BP157">
        <v>1</v>
      </c>
    </row>
    <row r="158" spans="1:68" x14ac:dyDescent="0.25">
      <c r="A158" t="s">
        <v>458</v>
      </c>
      <c r="B158" s="1">
        <v>46181</v>
      </c>
      <c r="E158" t="s">
        <v>170</v>
      </c>
      <c r="F158">
        <v>0</v>
      </c>
      <c r="G158" t="s">
        <v>170</v>
      </c>
      <c r="H158">
        <v>7.67</v>
      </c>
      <c r="J158" t="s">
        <v>170</v>
      </c>
      <c r="L158" t="s">
        <v>171</v>
      </c>
      <c r="P158">
        <v>0</v>
      </c>
      <c r="Q158" t="s">
        <v>197</v>
      </c>
      <c r="R158" t="s">
        <v>174</v>
      </c>
      <c r="S158" t="s">
        <v>175</v>
      </c>
      <c r="T158" t="s">
        <v>348</v>
      </c>
      <c r="U158" t="s">
        <v>349</v>
      </c>
      <c r="V158" t="s">
        <v>262</v>
      </c>
      <c r="Z158" t="s">
        <v>170</v>
      </c>
      <c r="AA158">
        <v>0</v>
      </c>
      <c r="AB158" t="s">
        <v>179</v>
      </c>
      <c r="AC158" t="s">
        <v>170</v>
      </c>
      <c r="AD158" t="s">
        <v>170</v>
      </c>
      <c r="AF158" t="s">
        <v>180</v>
      </c>
      <c r="AG158" t="s">
        <v>181</v>
      </c>
      <c r="AH158" t="s">
        <v>73</v>
      </c>
      <c r="AI158" t="s">
        <v>210</v>
      </c>
      <c r="AJ158">
        <v>1</v>
      </c>
      <c r="AL158" t="s">
        <v>170</v>
      </c>
      <c r="AM158" t="s">
        <v>170</v>
      </c>
      <c r="AN158" t="s">
        <v>170</v>
      </c>
      <c r="AO158" t="s">
        <v>183</v>
      </c>
      <c r="AP158">
        <v>1</v>
      </c>
      <c r="AQ158" t="s">
        <v>170</v>
      </c>
      <c r="AR158" t="s">
        <v>184</v>
      </c>
      <c r="AS158" t="s">
        <v>185</v>
      </c>
      <c r="AU158">
        <v>46146</v>
      </c>
      <c r="AX158" t="s">
        <v>170</v>
      </c>
      <c r="AY158">
        <v>8043467</v>
      </c>
      <c r="BA158" t="s">
        <v>185</v>
      </c>
      <c r="BG158" t="s">
        <v>170</v>
      </c>
      <c r="BH158" t="s">
        <v>458</v>
      </c>
      <c r="BK158">
        <v>0</v>
      </c>
      <c r="BN158" t="s">
        <v>749</v>
      </c>
      <c r="BO158">
        <v>24</v>
      </c>
      <c r="BP158">
        <v>1</v>
      </c>
    </row>
    <row r="159" spans="1:68" x14ac:dyDescent="0.25">
      <c r="A159" t="s">
        <v>459</v>
      </c>
      <c r="B159" s="1">
        <v>46181</v>
      </c>
      <c r="E159" t="s">
        <v>170</v>
      </c>
      <c r="F159">
        <v>0</v>
      </c>
      <c r="G159" t="s">
        <v>170</v>
      </c>
      <c r="H159">
        <v>8</v>
      </c>
      <c r="J159" t="s">
        <v>170</v>
      </c>
      <c r="L159" t="s">
        <v>347</v>
      </c>
      <c r="P159">
        <v>0</v>
      </c>
      <c r="Q159" t="s">
        <v>197</v>
      </c>
      <c r="R159" t="s">
        <v>174</v>
      </c>
      <c r="S159" t="s">
        <v>175</v>
      </c>
      <c r="T159" t="s">
        <v>348</v>
      </c>
      <c r="U159" t="s">
        <v>349</v>
      </c>
      <c r="V159" t="s">
        <v>262</v>
      </c>
      <c r="Z159" t="s">
        <v>170</v>
      </c>
      <c r="AA159">
        <v>0</v>
      </c>
      <c r="AB159" t="s">
        <v>179</v>
      </c>
      <c r="AC159" t="s">
        <v>170</v>
      </c>
      <c r="AD159" t="s">
        <v>170</v>
      </c>
      <c r="AF159" t="s">
        <v>180</v>
      </c>
      <c r="AG159" t="s">
        <v>181</v>
      </c>
      <c r="AH159" t="s">
        <v>72</v>
      </c>
      <c r="AI159" t="s">
        <v>210</v>
      </c>
      <c r="AJ159">
        <v>1</v>
      </c>
      <c r="AL159" t="s">
        <v>170</v>
      </c>
      <c r="AM159" t="s">
        <v>170</v>
      </c>
      <c r="AN159" t="s">
        <v>170</v>
      </c>
      <c r="AO159" t="s">
        <v>183</v>
      </c>
      <c r="AP159">
        <v>1</v>
      </c>
      <c r="AQ159" t="s">
        <v>170</v>
      </c>
      <c r="AR159" t="s">
        <v>184</v>
      </c>
      <c r="AS159" t="s">
        <v>185</v>
      </c>
      <c r="AU159">
        <v>46139</v>
      </c>
      <c r="AX159" t="s">
        <v>170</v>
      </c>
      <c r="AY159">
        <v>13871885</v>
      </c>
      <c r="BA159" t="s">
        <v>185</v>
      </c>
      <c r="BG159" t="s">
        <v>170</v>
      </c>
      <c r="BH159" t="s">
        <v>459</v>
      </c>
      <c r="BK159">
        <v>0</v>
      </c>
      <c r="BN159" t="s">
        <v>750</v>
      </c>
      <c r="BO159">
        <v>24</v>
      </c>
      <c r="BP159">
        <v>1</v>
      </c>
    </row>
    <row r="160" spans="1:68" x14ac:dyDescent="0.25">
      <c r="A160" t="s">
        <v>460</v>
      </c>
      <c r="B160" s="1">
        <v>46181</v>
      </c>
      <c r="E160" t="s">
        <v>170</v>
      </c>
      <c r="F160">
        <v>0</v>
      </c>
      <c r="G160" t="s">
        <v>170</v>
      </c>
      <c r="H160">
        <v>8</v>
      </c>
      <c r="J160" t="s">
        <v>170</v>
      </c>
      <c r="L160" t="s">
        <v>347</v>
      </c>
      <c r="P160">
        <v>0</v>
      </c>
      <c r="Q160" t="s">
        <v>197</v>
      </c>
      <c r="R160" t="s">
        <v>174</v>
      </c>
      <c r="S160" t="s">
        <v>175</v>
      </c>
      <c r="T160" t="s">
        <v>348</v>
      </c>
      <c r="U160" t="s">
        <v>349</v>
      </c>
      <c r="V160" t="s">
        <v>262</v>
      </c>
      <c r="Z160" t="s">
        <v>170</v>
      </c>
      <c r="AA160">
        <v>0</v>
      </c>
      <c r="AB160" t="s">
        <v>179</v>
      </c>
      <c r="AC160" t="s">
        <v>170</v>
      </c>
      <c r="AD160" t="s">
        <v>170</v>
      </c>
      <c r="AF160" t="s">
        <v>180</v>
      </c>
      <c r="AG160" t="s">
        <v>181</v>
      </c>
      <c r="AH160" t="s">
        <v>72</v>
      </c>
      <c r="AI160" t="s">
        <v>210</v>
      </c>
      <c r="AJ160">
        <v>1</v>
      </c>
      <c r="AL160" t="s">
        <v>170</v>
      </c>
      <c r="AM160" t="s">
        <v>170</v>
      </c>
      <c r="AN160" t="s">
        <v>170</v>
      </c>
      <c r="AO160" t="s">
        <v>183</v>
      </c>
      <c r="AP160">
        <v>1</v>
      </c>
      <c r="AQ160" t="s">
        <v>170</v>
      </c>
      <c r="AR160" t="s">
        <v>184</v>
      </c>
      <c r="AS160" t="s">
        <v>185</v>
      </c>
      <c r="AU160">
        <v>46139</v>
      </c>
      <c r="AX160" t="s">
        <v>170</v>
      </c>
      <c r="AY160">
        <v>12937653</v>
      </c>
      <c r="BA160" t="s">
        <v>185</v>
      </c>
      <c r="BG160" t="s">
        <v>170</v>
      </c>
      <c r="BH160" t="s">
        <v>460</v>
      </c>
      <c r="BK160">
        <v>0</v>
      </c>
      <c r="BN160" t="s">
        <v>751</v>
      </c>
      <c r="BO160">
        <v>24</v>
      </c>
      <c r="BP160">
        <v>1</v>
      </c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</sheetData>
  <pageMargins left="0.7" right="0.7" top="0.75" bottom="0.75" header="0.3" footer="0.3"/>
  <pageSetup paperSize="9" orientation="portrait" copies="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n">
                <anchor moveWithCells="1" sizeWithCells="1">
                  <from>
                    <xdr:col>8</xdr:col>
                    <xdr:colOff>371475</xdr:colOff>
                    <xdr:row>3</xdr:row>
                    <xdr:rowOff>38100</xdr:rowOff>
                  </from>
                  <to>
                    <xdr:col>10</xdr:col>
                    <xdr:colOff>638175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931B4-7EAD-4583-B6EE-BDB22098DDE4}">
  <sheetPr codeName="Sheet2"/>
  <dimension ref="A1:AD69"/>
  <sheetViews>
    <sheetView tabSelected="1" workbookViewId="0">
      <selection activeCell="N10" sqref="N10"/>
    </sheetView>
  </sheetViews>
  <sheetFormatPr defaultColWidth="9.140625" defaultRowHeight="15" x14ac:dyDescent="0.25"/>
  <cols>
    <col min="1" max="1" width="15.85546875" style="5" bestFit="1" customWidth="1"/>
    <col min="2" max="2" width="12.42578125" style="5" customWidth="1"/>
    <col min="3" max="3" width="9.140625" style="5"/>
    <col min="4" max="4" width="15.140625" hidden="1" customWidth="1"/>
    <col min="5" max="5" width="9.140625" style="5"/>
    <col min="6" max="6" width="12" style="5" bestFit="1" customWidth="1"/>
    <col min="7" max="9" width="9.140625" style="5"/>
    <col min="10" max="10" width="17.28515625" style="5" customWidth="1"/>
    <col min="11" max="12" width="9.140625" style="21"/>
    <col min="13" max="13" width="9.140625" style="5"/>
    <col min="14" max="14" width="20.42578125" style="5" bestFit="1" customWidth="1"/>
    <col min="15" max="15" width="9.42578125" style="5" customWidth="1"/>
    <col min="16" max="16" width="26.85546875" style="5" bestFit="1" customWidth="1"/>
    <col min="17" max="17" width="19.5703125" style="5" customWidth="1"/>
    <col min="18" max="18" width="9.140625" style="5"/>
    <col min="19" max="19" width="23.5703125" style="5" customWidth="1"/>
    <col min="20" max="20" width="10.42578125" style="5" customWidth="1"/>
    <col min="21" max="21" width="14.5703125" style="5" hidden="1" customWidth="1"/>
    <col min="22" max="23" width="9.140625" style="5" hidden="1" customWidth="1"/>
    <col min="24" max="24" width="8.85546875" style="5" customWidth="1"/>
    <col min="25" max="26" width="9.140625" style="5"/>
    <col min="27" max="27" width="18" hidden="1" customWidth="1"/>
    <col min="28" max="29" width="3.7109375" hidden="1" customWidth="1"/>
    <col min="30" max="30" width="10.42578125" style="5" bestFit="1" customWidth="1"/>
    <col min="31" max="31" width="23.5703125" style="5" bestFit="1" customWidth="1"/>
    <col min="32" max="32" width="22.42578125" style="5" bestFit="1" customWidth="1"/>
    <col min="33" max="16384" width="9.140625" style="5"/>
  </cols>
  <sheetData>
    <row r="1" spans="1:30" ht="15.75" thickBot="1" x14ac:dyDescent="0.3">
      <c r="A1" s="148" t="s">
        <v>164</v>
      </c>
      <c r="B1" s="148"/>
      <c r="C1" s="148"/>
      <c r="E1" s="2"/>
      <c r="F1" s="157" t="s">
        <v>368</v>
      </c>
      <c r="G1" s="157"/>
      <c r="H1" s="157"/>
      <c r="I1" s="24"/>
      <c r="J1" s="149" t="s">
        <v>68</v>
      </c>
      <c r="K1" s="150"/>
      <c r="L1" s="151"/>
      <c r="M1" s="2"/>
      <c r="N1" s="3" t="s">
        <v>69</v>
      </c>
      <c r="O1" s="4"/>
      <c r="P1" s="152" t="s">
        <v>568</v>
      </c>
      <c r="Q1" s="153"/>
      <c r="R1" s="24"/>
      <c r="S1" s="38"/>
      <c r="U1" s="154" t="s">
        <v>70</v>
      </c>
      <c r="V1" s="154"/>
      <c r="W1" s="154"/>
      <c r="AA1" t="s">
        <v>71</v>
      </c>
      <c r="AB1" s="6" t="s">
        <v>72</v>
      </c>
      <c r="AC1" s="6" t="s">
        <v>73</v>
      </c>
      <c r="AD1" s="7"/>
    </row>
    <row r="2" spans="1:30" x14ac:dyDescent="0.25">
      <c r="A2" s="73" t="s">
        <v>74</v>
      </c>
      <c r="B2" s="6" t="s">
        <v>72</v>
      </c>
      <c r="C2" s="6" t="s">
        <v>73</v>
      </c>
      <c r="E2" s="2"/>
      <c r="F2" s="57" t="s">
        <v>74</v>
      </c>
      <c r="G2" s="58" t="s">
        <v>72</v>
      </c>
      <c r="H2" s="58" t="s">
        <v>73</v>
      </c>
      <c r="I2" s="24"/>
      <c r="J2" s="8"/>
      <c r="K2" s="9" t="s">
        <v>72</v>
      </c>
      <c r="L2" s="10" t="s">
        <v>73</v>
      </c>
      <c r="M2" s="2"/>
      <c r="N2" s="146" t="s">
        <v>75</v>
      </c>
      <c r="O2" s="2"/>
      <c r="P2" s="60" t="s">
        <v>75</v>
      </c>
      <c r="Q2" s="147" t="s">
        <v>76</v>
      </c>
      <c r="R2" s="24"/>
      <c r="S2" s="28"/>
      <c r="U2" s="5" t="s">
        <v>74</v>
      </c>
      <c r="V2" s="5" t="s">
        <v>77</v>
      </c>
      <c r="W2" s="5" t="s">
        <v>78</v>
      </c>
      <c r="AA2" t="s">
        <v>79</v>
      </c>
      <c r="AB2">
        <f>COUNTIFS(Import!AH:AH,"AM") + COUNTIFS(Import!AH:AH,"*DAY*") + COUNTIFS(Import!AH:AH,"*MI-TEMPS*") - IF(COUNTIF(Import!A:A, "EL ABBADI, YOUSSEF") &gt; 0, 1, 0)</f>
        <v>90</v>
      </c>
      <c r="AC2">
        <f>COUNTIFS(Import!AH:AH,"PM") + COUNTIFS(Import!AH:AH,"*DAY*")</f>
        <v>78</v>
      </c>
      <c r="AD2" s="7"/>
    </row>
    <row r="3" spans="1:30" x14ac:dyDescent="0.25">
      <c r="A3" s="11" t="s">
        <v>162</v>
      </c>
      <c r="B3" s="130">
        <v>6</v>
      </c>
      <c r="C3" s="130">
        <v>6</v>
      </c>
      <c r="E3" s="2"/>
      <c r="F3" s="11" t="s">
        <v>162</v>
      </c>
      <c r="G3" s="130">
        <v>2</v>
      </c>
      <c r="H3" s="130">
        <v>2</v>
      </c>
      <c r="I3" s="24"/>
      <c r="J3" s="12" t="s">
        <v>81</v>
      </c>
      <c r="K3" s="13">
        <f>AB2</f>
        <v>90</v>
      </c>
      <c r="L3" s="13">
        <f>AC2</f>
        <v>78</v>
      </c>
      <c r="M3" s="2"/>
      <c r="N3" s="139" t="s">
        <v>82</v>
      </c>
      <c r="O3" s="2"/>
      <c r="P3" s="140" t="s">
        <v>402</v>
      </c>
      <c r="Q3" s="131" t="s">
        <v>162</v>
      </c>
      <c r="S3" s="28"/>
      <c r="U3" s="5" t="s">
        <v>83</v>
      </c>
      <c r="V3" s="5">
        <v>1</v>
      </c>
      <c r="W3" s="5" t="s">
        <v>84</v>
      </c>
      <c r="AA3" t="s">
        <v>85</v>
      </c>
      <c r="AB3" cm="1">
        <f t="array" ref="AB3">SUMPRODUCT( ((Import!AH:AH="AM")+(ISNUMBER(SEARCH("DAY",Import!AH:AH)))) * (ISNUMBER(SEARCH("SME",Import!R:R))) )</f>
        <v>4</v>
      </c>
      <c r="AC3" cm="1">
        <f t="array" ref="AC3">SUMPRODUCT( ((Import!AH:AH="PM")+(ISNUMBER(SEARCH("DAY",Import!AH:AH)))) * (ISNUMBER(SEARCH("SME",Import!R:R))) )</f>
        <v>3</v>
      </c>
    </row>
    <row r="4" spans="1:30" ht="15" customHeight="1" thickBot="1" x14ac:dyDescent="0.3">
      <c r="A4" s="11" t="s">
        <v>163</v>
      </c>
      <c r="B4" s="130">
        <v>5</v>
      </c>
      <c r="C4" s="130">
        <v>5</v>
      </c>
      <c r="E4" s="2"/>
      <c r="F4" s="11" t="s">
        <v>163</v>
      </c>
      <c r="G4" s="130">
        <v>1</v>
      </c>
      <c r="H4" s="130">
        <v>1</v>
      </c>
      <c r="I4" s="24"/>
      <c r="J4" s="15" t="s">
        <v>85</v>
      </c>
      <c r="K4" s="16">
        <f>AB3</f>
        <v>4</v>
      </c>
      <c r="L4" s="17">
        <f t="shared" ref="L4" si="0">AC3</f>
        <v>3</v>
      </c>
      <c r="M4" s="2"/>
      <c r="N4" s="140" t="s">
        <v>87</v>
      </c>
      <c r="O4" s="2"/>
      <c r="P4" s="140"/>
      <c r="Q4" s="131"/>
      <c r="S4" s="28"/>
      <c r="U4" s="5" t="s">
        <v>83</v>
      </c>
      <c r="V4" s="5">
        <v>2</v>
      </c>
      <c r="W4" s="5" t="s">
        <v>88</v>
      </c>
      <c r="AA4" t="s">
        <v>375</v>
      </c>
      <c r="AB4" s="163">
        <f>COUNTIFS(Import!AH:AH,"*DAY*",Import!AR:AR,"*Pack Small*",Import!AO:AO,"*Operator*")</f>
        <v>6</v>
      </c>
      <c r="AC4" s="163"/>
    </row>
    <row r="5" spans="1:30" ht="14.45" customHeight="1" x14ac:dyDescent="0.25">
      <c r="A5" s="34"/>
      <c r="B5" s="21"/>
      <c r="C5" s="21"/>
      <c r="E5" s="28"/>
      <c r="F5" s="28"/>
      <c r="G5" s="28"/>
      <c r="H5" s="28"/>
      <c r="I5" s="28"/>
      <c r="J5" s="40" t="s">
        <v>354</v>
      </c>
      <c r="K5" s="9" t="s">
        <v>72</v>
      </c>
      <c r="L5" s="10" t="s">
        <v>73</v>
      </c>
      <c r="M5" s="2"/>
      <c r="N5" s="140"/>
      <c r="O5" s="2"/>
      <c r="P5" s="140"/>
      <c r="Q5" s="131"/>
      <c r="S5" s="28"/>
      <c r="U5" s="5" t="s">
        <v>83</v>
      </c>
      <c r="V5" s="5">
        <v>3</v>
      </c>
      <c r="W5" s="5" t="s">
        <v>91</v>
      </c>
      <c r="AA5" t="s">
        <v>376</v>
      </c>
      <c r="AB5">
        <f>MAX(COUNTIFS(Import!AH:AH,"*MI-TEMPS*",Import!AR:AR,"*Pack Small*") - IF(COUNTIF(Import!A:A, "EL ABBADI, YOUSSEF") &gt; 0, 1, 0))</f>
        <v>8</v>
      </c>
    </row>
    <row r="6" spans="1:30" ht="15" customHeight="1" x14ac:dyDescent="0.25">
      <c r="A6" s="34"/>
      <c r="B6" s="45"/>
      <c r="C6" s="45"/>
      <c r="D6" s="46"/>
      <c r="E6" s="47"/>
      <c r="F6" s="47"/>
      <c r="G6" s="47"/>
      <c r="H6" s="28"/>
      <c r="I6" s="28"/>
      <c r="J6" s="14" t="s">
        <v>363</v>
      </c>
      <c r="K6" s="6">
        <f>AB8</f>
        <v>38</v>
      </c>
      <c r="L6" s="44">
        <f>AC8</f>
        <v>34</v>
      </c>
      <c r="M6" s="2"/>
      <c r="N6" s="139"/>
      <c r="O6" s="2"/>
      <c r="P6" s="140"/>
      <c r="Q6" s="131"/>
      <c r="S6" s="28"/>
      <c r="U6" s="5" t="s">
        <v>83</v>
      </c>
      <c r="V6" s="5">
        <v>4</v>
      </c>
      <c r="W6" s="5" t="s">
        <v>93</v>
      </c>
      <c r="AA6" t="s">
        <v>377</v>
      </c>
      <c r="AB6" s="163">
        <f>COUNTIFS(Import!AH:AH,"*DAY*",Import!AR:AR,"*Pack Large*",Import!AO:AO,"*Operator*")</f>
        <v>3</v>
      </c>
      <c r="AC6" s="163"/>
    </row>
    <row r="7" spans="1:30" x14ac:dyDescent="0.25">
      <c r="A7" s="22"/>
      <c r="B7" s="23" t="s">
        <v>392</v>
      </c>
      <c r="C7" s="23" t="s">
        <v>381</v>
      </c>
      <c r="D7" s="42"/>
      <c r="E7" s="23" t="s">
        <v>382</v>
      </c>
      <c r="F7" s="23" t="s">
        <v>383</v>
      </c>
      <c r="G7" s="48" t="s">
        <v>393</v>
      </c>
      <c r="H7" s="28"/>
      <c r="I7" s="28"/>
      <c r="J7" s="12" t="s">
        <v>372</v>
      </c>
      <c r="K7" s="164">
        <f>AB4</f>
        <v>6</v>
      </c>
      <c r="L7" s="165"/>
      <c r="O7" s="59"/>
      <c r="P7" s="140"/>
      <c r="Q7" s="131"/>
      <c r="S7" s="28"/>
      <c r="U7" s="5" t="s">
        <v>83</v>
      </c>
      <c r="V7" s="5">
        <v>5</v>
      </c>
      <c r="W7" s="5" t="s">
        <v>95</v>
      </c>
      <c r="AA7" t="s">
        <v>378</v>
      </c>
      <c r="AB7">
        <f>MAX(COUNTIFS(Import!AH:AH,"*MI-TEMPS*",Import!AR:AR,"*Pack Large*") - IF(COUNTIF(Import!A:A, "EL ABBADI, YOUSSEF") &gt; 0, 1, 0))</f>
        <v>1</v>
      </c>
    </row>
    <row r="8" spans="1:30" ht="15.75" thickBot="1" x14ac:dyDescent="0.3">
      <c r="A8" s="143" t="s">
        <v>354</v>
      </c>
      <c r="B8" s="25">
        <f>AB8-B3-B4+AB11</f>
        <v>33</v>
      </c>
      <c r="C8" s="26">
        <f>B8+AB4+AB18</f>
        <v>40</v>
      </c>
      <c r="E8" s="25">
        <f>C8+AB5-AB11+AB18</f>
        <v>43</v>
      </c>
      <c r="F8" s="26">
        <f>AC8+AB4-C3-C4</f>
        <v>29</v>
      </c>
      <c r="G8" s="49">
        <f>AC8-C3-C4</f>
        <v>23</v>
      </c>
      <c r="H8" s="28"/>
      <c r="I8" s="28"/>
      <c r="J8" s="15" t="s">
        <v>373</v>
      </c>
      <c r="K8" s="16">
        <f>AB5</f>
        <v>8</v>
      </c>
      <c r="L8" s="43"/>
      <c r="N8" s="62" t="s">
        <v>461</v>
      </c>
      <c r="O8" s="59"/>
      <c r="P8" s="140"/>
      <c r="Q8" s="131"/>
      <c r="S8" s="28"/>
      <c r="U8" s="5" t="s">
        <v>83</v>
      </c>
      <c r="V8" s="5">
        <v>6</v>
      </c>
      <c r="W8" s="5" t="s">
        <v>97</v>
      </c>
      <c r="AA8" t="s">
        <v>379</v>
      </c>
      <c r="AB8">
        <f>COUNTIFS(Import!AH:AH,"*AM*",Import!AR:AR,"*Pack Small*",Import!AO:AO,"*Operator*")</f>
        <v>38</v>
      </c>
      <c r="AC8">
        <f>COUNTIFS(Import!AH:AH,"*PM*",Import!AR:AR,"*Pack Small*",Import!AO:AO,"*Operator*")</f>
        <v>34</v>
      </c>
    </row>
    <row r="9" spans="1:30" hidden="1" x14ac:dyDescent="0.25">
      <c r="A9" s="18" t="s">
        <v>83</v>
      </c>
      <c r="B9" s="18">
        <v>14</v>
      </c>
      <c r="C9" s="18">
        <v>14</v>
      </c>
      <c r="J9" s="12" t="s">
        <v>372</v>
      </c>
      <c r="K9" s="161">
        <f t="shared" ref="K9" si="1">AB4</f>
        <v>6</v>
      </c>
      <c r="L9" s="162"/>
      <c r="N9" s="61"/>
      <c r="O9" s="59"/>
      <c r="P9" s="140"/>
      <c r="Q9" s="131"/>
      <c r="S9" s="28"/>
      <c r="U9" s="5" t="s">
        <v>83</v>
      </c>
      <c r="V9" s="5">
        <v>7</v>
      </c>
      <c r="W9" s="5" t="s">
        <v>98</v>
      </c>
    </row>
    <row r="10" spans="1:30" x14ac:dyDescent="0.25">
      <c r="A10" s="19"/>
      <c r="B10" s="19"/>
      <c r="C10" s="19"/>
      <c r="D10" s="5"/>
      <c r="J10" s="41" t="s">
        <v>374</v>
      </c>
      <c r="K10" s="9" t="s">
        <v>72</v>
      </c>
      <c r="L10" s="10" t="s">
        <v>73</v>
      </c>
      <c r="N10" s="137" t="b">
        <v>0</v>
      </c>
      <c r="O10" s="59"/>
      <c r="P10" s="140"/>
      <c r="Q10" s="131"/>
      <c r="S10" s="28"/>
      <c r="U10" s="5" t="s">
        <v>83</v>
      </c>
      <c r="V10" s="5">
        <v>8</v>
      </c>
      <c r="W10" s="5" t="s">
        <v>99</v>
      </c>
      <c r="AA10" t="s">
        <v>380</v>
      </c>
      <c r="AB10">
        <f>COUNTIFS(Import!AH:AH,"*AM*",Import!AR:AR,"*Pack Large*",Import!AO:AO,"*Operator*")</f>
        <v>25</v>
      </c>
      <c r="AC10">
        <f>COUNTIFS(Import!AH:AH,"*PM*",Import!AR:AR,"*Pack Large*",Import!AO:AO,"*Operator*")</f>
        <v>28</v>
      </c>
    </row>
    <row r="11" spans="1:30" x14ac:dyDescent="0.25">
      <c r="A11" s="20"/>
      <c r="B11" s="20"/>
      <c r="C11" s="20"/>
      <c r="E11" s="28"/>
      <c r="I11" s="28"/>
      <c r="J11" s="14" t="s">
        <v>363</v>
      </c>
      <c r="K11" s="6">
        <f>AB10</f>
        <v>25</v>
      </c>
      <c r="L11" s="44">
        <f>AC10</f>
        <v>28</v>
      </c>
      <c r="O11" s="59"/>
      <c r="P11" s="140"/>
      <c r="Q11" s="131"/>
      <c r="S11" s="28"/>
      <c r="U11" s="5" t="s">
        <v>83</v>
      </c>
      <c r="V11" s="5">
        <v>9</v>
      </c>
      <c r="W11" s="5" t="s">
        <v>100</v>
      </c>
      <c r="AA11" t="s">
        <v>384</v>
      </c>
      <c r="AB11">
        <f>MAX(0,COUNTIFS(Import!AH:AH,"*MI-TEMPS*",Import!AR:AR,"*Pack Small*",Import!L:L,"*6*")-IF(COUNTIF(Import!A:A,"EL ABBADI, YOUSSEF")&gt;0,1,0))</f>
        <v>6</v>
      </c>
    </row>
    <row r="12" spans="1:30" x14ac:dyDescent="0.25">
      <c r="A12" s="155" t="s">
        <v>165</v>
      </c>
      <c r="B12" s="155"/>
      <c r="C12" s="156"/>
      <c r="D12" s="27"/>
      <c r="E12" s="24"/>
      <c r="F12" s="158" t="s">
        <v>369</v>
      </c>
      <c r="G12" s="159"/>
      <c r="H12" s="160"/>
      <c r="I12" s="28"/>
      <c r="J12" s="12" t="s">
        <v>372</v>
      </c>
      <c r="K12" s="164">
        <f>AB6</f>
        <v>3</v>
      </c>
      <c r="L12" s="165"/>
      <c r="N12" s="71" t="s">
        <v>551</v>
      </c>
      <c r="O12" s="59"/>
      <c r="P12" s="140"/>
      <c r="Q12" s="131"/>
      <c r="S12" s="28"/>
      <c r="U12" s="5" t="s">
        <v>83</v>
      </c>
      <c r="V12" s="5">
        <v>10</v>
      </c>
      <c r="W12" s="5" t="s">
        <v>101</v>
      </c>
      <c r="AA12" t="s">
        <v>385</v>
      </c>
      <c r="AB12">
        <f>MAX(0,COUNTIFS(Import!AH:AH,"*MI-TEMPS*",Import!AR:AR,"*Pack Small*",Import!L:L,"*14*")-IF(COUNTIF(Import!A:A,"EL ABBADI, YOUSSEF")&gt;0,1,0))</f>
        <v>1</v>
      </c>
    </row>
    <row r="13" spans="1:30" ht="15.75" thickBot="1" x14ac:dyDescent="0.3">
      <c r="A13" s="144" t="s">
        <v>74</v>
      </c>
      <c r="B13" s="6" t="s">
        <v>72</v>
      </c>
      <c r="C13" s="44" t="s">
        <v>73</v>
      </c>
      <c r="F13" s="54" t="s">
        <v>74</v>
      </c>
      <c r="G13" s="55" t="s">
        <v>72</v>
      </c>
      <c r="H13" s="56" t="s">
        <v>73</v>
      </c>
      <c r="J13" s="15" t="s">
        <v>373</v>
      </c>
      <c r="K13" s="16">
        <f>AB7</f>
        <v>1</v>
      </c>
      <c r="L13" s="43"/>
      <c r="N13" s="138" t="b">
        <v>1</v>
      </c>
      <c r="O13" s="59"/>
      <c r="P13" s="140"/>
      <c r="Q13" s="131"/>
      <c r="S13" s="28"/>
      <c r="U13" s="5" t="s">
        <v>83</v>
      </c>
      <c r="V13" s="5">
        <v>11</v>
      </c>
      <c r="W13" s="5" t="s">
        <v>102</v>
      </c>
      <c r="AA13" t="s">
        <v>386</v>
      </c>
      <c r="AB13">
        <f>MAX(0,COUNTIFS(Import!AH:AH,"*MI-TEMPS*",Import!AR:AR,"*Pack Large*",Import!L:L,"*6*")-IF(COUNTIF(Import!A:A,"EL ABBADI, YOUSSEF")&gt;0,1,0))</f>
        <v>1</v>
      </c>
    </row>
    <row r="14" spans="1:30" x14ac:dyDescent="0.25">
      <c r="A14" s="11" t="s">
        <v>166</v>
      </c>
      <c r="B14" s="130">
        <v>10</v>
      </c>
      <c r="C14" s="131">
        <v>9</v>
      </c>
      <c r="F14" s="145" t="s">
        <v>166</v>
      </c>
      <c r="G14" s="134">
        <v>4</v>
      </c>
      <c r="H14" s="131">
        <v>4</v>
      </c>
      <c r="J14" s="41" t="s">
        <v>222</v>
      </c>
      <c r="K14" s="9" t="s">
        <v>72</v>
      </c>
      <c r="L14" s="10" t="s">
        <v>73</v>
      </c>
      <c r="O14" s="59"/>
      <c r="P14" s="140"/>
      <c r="Q14" s="131"/>
      <c r="U14" s="5" t="s">
        <v>83</v>
      </c>
      <c r="V14" s="5">
        <v>12</v>
      </c>
      <c r="W14" s="5" t="s">
        <v>103</v>
      </c>
      <c r="AA14" t="s">
        <v>387</v>
      </c>
      <c r="AB14">
        <f>MAX(0,COUNTIFS(Import!AH:AH,"*MI-TEMPS*",Import!AR:AR,"*Pack Large*",Import!L:L,"*14*")-IF(COUNTIF(Import!A:A,"EL ABBADI, YOUSSEF")&gt;0,1,0))</f>
        <v>0</v>
      </c>
    </row>
    <row r="15" spans="1:30" x14ac:dyDescent="0.25">
      <c r="A15" s="11" t="s">
        <v>167</v>
      </c>
      <c r="B15" s="130">
        <v>1</v>
      </c>
      <c r="C15" s="131">
        <v>1</v>
      </c>
      <c r="F15" s="14" t="s">
        <v>167</v>
      </c>
      <c r="G15" s="134">
        <v>1</v>
      </c>
      <c r="H15" s="131">
        <v>1</v>
      </c>
      <c r="J15" s="14" t="s">
        <v>363</v>
      </c>
      <c r="K15" s="6">
        <f>AB15</f>
        <v>5</v>
      </c>
      <c r="L15" s="44">
        <f>AC15</f>
        <v>4</v>
      </c>
      <c r="O15" s="59"/>
      <c r="P15" s="141"/>
      <c r="Q15" s="133"/>
      <c r="U15" s="5" t="s">
        <v>83</v>
      </c>
      <c r="V15" s="5">
        <v>13</v>
      </c>
      <c r="W15" s="5" t="s">
        <v>104</v>
      </c>
      <c r="AA15" t="s">
        <v>389</v>
      </c>
      <c r="AB15">
        <f>COUNTIFS(Import!AH:AH,"*AM*",Import!AR:AR,"*Shipping*",Import!AO:AO,"*Operator*")</f>
        <v>5</v>
      </c>
      <c r="AC15">
        <f>COUNTIFS(Import!AH:AH,"*PM*",Import!AR:AR,"*Shipping*",Import!AO:AO,"*Operator*")</f>
        <v>4</v>
      </c>
    </row>
    <row r="16" spans="1:30" x14ac:dyDescent="0.25">
      <c r="A16" s="36" t="s">
        <v>168</v>
      </c>
      <c r="B16" s="132">
        <v>1</v>
      </c>
      <c r="C16" s="133">
        <v>1</v>
      </c>
      <c r="D16" s="28"/>
      <c r="E16" s="28"/>
      <c r="F16" s="53" t="s">
        <v>168</v>
      </c>
      <c r="G16" s="135">
        <v>1</v>
      </c>
      <c r="H16" s="136">
        <v>1</v>
      </c>
      <c r="I16" s="28"/>
      <c r="J16" s="12" t="s">
        <v>372</v>
      </c>
      <c r="K16" s="164">
        <f>AB16</f>
        <v>0</v>
      </c>
      <c r="L16" s="165"/>
      <c r="O16" s="59"/>
      <c r="P16" s="142"/>
      <c r="Q16" s="133"/>
      <c r="U16" s="5" t="s">
        <v>83</v>
      </c>
      <c r="V16" s="5">
        <v>14</v>
      </c>
      <c r="W16" s="5" t="s">
        <v>105</v>
      </c>
      <c r="AA16" t="s">
        <v>390</v>
      </c>
    </row>
    <row r="17" spans="1:28" ht="15.75" thickBot="1" x14ac:dyDescent="0.3">
      <c r="A17" s="28"/>
      <c r="B17" s="28"/>
      <c r="C17" s="28"/>
      <c r="D17" s="28"/>
      <c r="E17" s="29"/>
      <c r="F17" s="28"/>
      <c r="G17" s="28"/>
      <c r="H17" s="28"/>
      <c r="I17" s="29"/>
      <c r="J17" s="15" t="s">
        <v>373</v>
      </c>
      <c r="K17" s="16">
        <f>AB17</f>
        <v>0</v>
      </c>
      <c r="L17" s="43"/>
      <c r="O17" s="59"/>
      <c r="P17" s="142"/>
      <c r="Q17" s="133"/>
      <c r="U17" s="5" t="s">
        <v>86</v>
      </c>
      <c r="V17" s="5">
        <v>1</v>
      </c>
      <c r="W17" s="5" t="s">
        <v>106</v>
      </c>
      <c r="AA17" t="s">
        <v>391</v>
      </c>
    </row>
    <row r="18" spans="1:28" x14ac:dyDescent="0.25">
      <c r="A18" s="35"/>
      <c r="B18" s="50"/>
      <c r="C18" s="47"/>
      <c r="D18" s="28"/>
      <c r="E18" s="28"/>
      <c r="F18" s="29"/>
      <c r="G18" s="29"/>
      <c r="H18" s="29"/>
      <c r="I18" s="28"/>
      <c r="O18" s="59"/>
      <c r="P18" s="142"/>
      <c r="Q18" s="133"/>
      <c r="U18" s="5" t="s">
        <v>86</v>
      </c>
      <c r="V18" s="5">
        <v>2</v>
      </c>
      <c r="W18" s="5" t="s">
        <v>107</v>
      </c>
      <c r="AA18" t="s">
        <v>462</v>
      </c>
      <c r="AB18">
        <f>MAX(0,COUNTIFS(Import!AH:AH,"*MI-TEMPS*",Import!AR:AR,"*Pack Small*",Import!L:L,"*0.5*")-IF(COUNTIF(Import!A:A,"EL ABBADI, YOUSSEF")&gt;0,1,0))</f>
        <v>1</v>
      </c>
    </row>
    <row r="19" spans="1:28" ht="14.25" customHeight="1" x14ac:dyDescent="0.25">
      <c r="A19" s="22"/>
      <c r="B19" s="23" t="s">
        <v>72</v>
      </c>
      <c r="C19" s="48" t="s">
        <v>73</v>
      </c>
      <c r="D19" s="28"/>
      <c r="E19" s="28"/>
      <c r="F19" s="28"/>
      <c r="G19" s="28"/>
      <c r="H19" s="28"/>
      <c r="I19" s="28"/>
      <c r="J19" s="28"/>
      <c r="O19" s="59"/>
      <c r="P19" s="142"/>
      <c r="Q19" s="133"/>
      <c r="U19" s="5" t="s">
        <v>86</v>
      </c>
      <c r="V19" s="5">
        <v>3</v>
      </c>
      <c r="W19" s="5" t="s">
        <v>108</v>
      </c>
    </row>
    <row r="20" spans="1:28" x14ac:dyDescent="0.25">
      <c r="A20" s="143" t="s">
        <v>388</v>
      </c>
      <c r="B20" s="25">
        <f>AB10-B14-B15-B16</f>
        <v>13</v>
      </c>
      <c r="C20" s="51">
        <f>AC10-C14-C15-C16</f>
        <v>17</v>
      </c>
      <c r="D20" s="28"/>
      <c r="E20" s="28"/>
      <c r="F20" s="28"/>
      <c r="G20" s="28"/>
      <c r="H20" s="28"/>
      <c r="I20" s="28"/>
      <c r="J20" s="30"/>
      <c r="O20" s="59"/>
      <c r="P20" s="142"/>
      <c r="Q20" s="133"/>
      <c r="U20" s="5" t="s">
        <v>86</v>
      </c>
      <c r="V20" s="5">
        <v>4</v>
      </c>
      <c r="W20" s="5" t="s">
        <v>110</v>
      </c>
    </row>
    <row r="21" spans="1:28" x14ac:dyDescent="0.25">
      <c r="A21" s="31"/>
      <c r="B21" s="28"/>
      <c r="C21" s="28"/>
      <c r="D21" s="28"/>
      <c r="E21" s="28"/>
      <c r="F21" s="28"/>
      <c r="G21" s="28"/>
      <c r="H21" s="28"/>
      <c r="I21" s="28"/>
      <c r="J21" s="28"/>
      <c r="O21" s="59"/>
      <c r="P21" s="142"/>
      <c r="Q21" s="133"/>
      <c r="U21" s="5" t="s">
        <v>86</v>
      </c>
      <c r="V21" s="5">
        <v>5</v>
      </c>
      <c r="W21" s="5" t="s">
        <v>111</v>
      </c>
    </row>
    <row r="22" spans="1:28" x14ac:dyDescent="0.25">
      <c r="A22" s="31"/>
      <c r="B22" s="33"/>
      <c r="C22" s="28"/>
      <c r="D22" s="28"/>
      <c r="E22" s="28"/>
      <c r="F22" s="28"/>
      <c r="G22" s="28"/>
      <c r="H22" s="28"/>
      <c r="I22" s="28"/>
      <c r="J22" s="28"/>
      <c r="O22" s="59"/>
      <c r="P22" s="142"/>
      <c r="Q22" s="133"/>
      <c r="U22" s="5" t="s">
        <v>80</v>
      </c>
      <c r="V22" s="5">
        <v>1</v>
      </c>
      <c r="W22" s="5" t="s">
        <v>112</v>
      </c>
    </row>
    <row r="23" spans="1:28" x14ac:dyDescent="0.25">
      <c r="A23" s="31"/>
      <c r="B23" s="33"/>
      <c r="C23" s="28"/>
      <c r="D23" s="28"/>
      <c r="E23" s="28"/>
      <c r="F23" s="28"/>
      <c r="G23" s="28"/>
      <c r="H23" s="28"/>
      <c r="I23" s="28"/>
      <c r="J23" s="28"/>
      <c r="O23" s="59"/>
      <c r="P23" s="142"/>
      <c r="Q23" s="133"/>
      <c r="U23" s="5" t="s">
        <v>80</v>
      </c>
      <c r="V23" s="5">
        <v>2</v>
      </c>
      <c r="W23" s="5" t="s">
        <v>113</v>
      </c>
    </row>
    <row r="24" spans="1:28" x14ac:dyDescent="0.25">
      <c r="A24" s="31"/>
      <c r="B24" s="28"/>
      <c r="C24" s="28"/>
      <c r="D24" s="28"/>
      <c r="E24" s="28"/>
      <c r="F24" s="28"/>
      <c r="G24" s="28"/>
      <c r="H24" s="28"/>
      <c r="I24" s="28"/>
      <c r="J24" s="28"/>
      <c r="O24" s="59"/>
      <c r="P24" s="142"/>
      <c r="Q24" s="133"/>
      <c r="U24" s="5" t="s">
        <v>80</v>
      </c>
      <c r="V24" s="5">
        <v>3</v>
      </c>
      <c r="W24" s="5" t="s">
        <v>114</v>
      </c>
    </row>
    <row r="25" spans="1:28" x14ac:dyDescent="0.25">
      <c r="A25" s="31"/>
      <c r="B25" s="28"/>
      <c r="C25" s="28"/>
      <c r="D25" s="28"/>
      <c r="E25" s="28"/>
      <c r="F25" s="28"/>
      <c r="G25" s="28"/>
      <c r="H25" s="28"/>
      <c r="I25" s="28"/>
      <c r="J25" s="28"/>
      <c r="O25" s="59"/>
      <c r="P25" s="142"/>
      <c r="Q25" s="133"/>
      <c r="U25" s="5" t="s">
        <v>80</v>
      </c>
      <c r="V25" s="5">
        <v>4</v>
      </c>
      <c r="W25" s="5" t="s">
        <v>115</v>
      </c>
    </row>
    <row r="26" spans="1:28" x14ac:dyDescent="0.25">
      <c r="A26" s="31"/>
      <c r="B26" s="28"/>
      <c r="C26" s="28"/>
      <c r="D26" s="28"/>
      <c r="E26" s="28"/>
      <c r="F26" s="28"/>
      <c r="G26" s="28"/>
      <c r="H26" s="28"/>
      <c r="I26" s="28"/>
      <c r="J26" s="28"/>
      <c r="O26" s="59"/>
      <c r="P26" s="142"/>
      <c r="Q26" s="133"/>
      <c r="U26" s="5" t="s">
        <v>80</v>
      </c>
      <c r="V26" s="5">
        <v>5</v>
      </c>
      <c r="W26" s="5" t="s">
        <v>116</v>
      </c>
    </row>
    <row r="27" spans="1:28" x14ac:dyDescent="0.25">
      <c r="A27" s="31"/>
      <c r="B27" s="28"/>
      <c r="C27" s="28"/>
      <c r="D27" s="28"/>
      <c r="E27" s="28"/>
      <c r="F27" s="28"/>
      <c r="G27" s="28"/>
      <c r="H27" s="28"/>
      <c r="I27" s="28"/>
      <c r="J27" s="28"/>
      <c r="U27" s="5" t="s">
        <v>80</v>
      </c>
      <c r="V27" s="5">
        <v>6</v>
      </c>
      <c r="W27" s="5" t="s">
        <v>117</v>
      </c>
    </row>
    <row r="28" spans="1:28" x14ac:dyDescent="0.25">
      <c r="A28" s="31"/>
      <c r="B28" s="32"/>
      <c r="C28" s="28"/>
      <c r="D28" s="28"/>
      <c r="E28" s="28"/>
      <c r="F28" s="28"/>
      <c r="G28" s="28"/>
      <c r="H28" s="28"/>
      <c r="I28" s="28"/>
      <c r="J28" s="28"/>
      <c r="U28" s="5" t="s">
        <v>80</v>
      </c>
      <c r="V28" s="5">
        <v>7</v>
      </c>
      <c r="W28" s="5" t="s">
        <v>118</v>
      </c>
    </row>
    <row r="29" spans="1:28" x14ac:dyDescent="0.25">
      <c r="A29" s="31"/>
      <c r="B29" s="28"/>
      <c r="C29" s="28"/>
      <c r="D29" s="28"/>
      <c r="E29" s="28"/>
      <c r="F29" s="28"/>
      <c r="G29" s="28"/>
      <c r="H29" s="28"/>
      <c r="I29" s="28"/>
      <c r="J29" s="28"/>
      <c r="U29" s="5" t="s">
        <v>80</v>
      </c>
      <c r="V29" s="5">
        <v>8</v>
      </c>
      <c r="W29" s="5" t="s">
        <v>119</v>
      </c>
    </row>
    <row r="30" spans="1:28" x14ac:dyDescent="0.25">
      <c r="A30" s="31"/>
      <c r="B30" s="33"/>
      <c r="C30" s="28"/>
      <c r="D30" s="28"/>
      <c r="E30" s="28"/>
      <c r="F30" s="28"/>
      <c r="G30" s="28"/>
      <c r="H30" s="28"/>
      <c r="I30" s="28"/>
      <c r="J30" s="28"/>
      <c r="U30" s="5" t="s">
        <v>80</v>
      </c>
      <c r="V30" s="5">
        <v>9</v>
      </c>
      <c r="W30" s="5" t="s">
        <v>120</v>
      </c>
    </row>
    <row r="31" spans="1:28" x14ac:dyDescent="0.25">
      <c r="A31" s="31"/>
      <c r="B31" s="33"/>
      <c r="C31" s="28"/>
      <c r="D31" s="28"/>
      <c r="E31" s="28"/>
      <c r="F31" s="28"/>
      <c r="G31" s="28"/>
      <c r="H31" s="28"/>
      <c r="I31" s="28"/>
      <c r="J31" s="28"/>
      <c r="U31" s="5" t="s">
        <v>80</v>
      </c>
      <c r="V31" s="5">
        <v>10</v>
      </c>
      <c r="W31" s="5" t="s">
        <v>121</v>
      </c>
    </row>
    <row r="32" spans="1:28" x14ac:dyDescent="0.25">
      <c r="A32" s="31"/>
      <c r="B32" s="28"/>
      <c r="C32" s="28"/>
      <c r="D32" s="28"/>
      <c r="E32" s="28"/>
      <c r="F32" s="28"/>
      <c r="G32" s="28"/>
      <c r="H32" s="28"/>
      <c r="I32" s="28"/>
      <c r="J32" s="28"/>
      <c r="U32" s="5" t="s">
        <v>80</v>
      </c>
      <c r="V32" s="5">
        <v>11</v>
      </c>
      <c r="W32" s="5" t="s">
        <v>122</v>
      </c>
    </row>
    <row r="33" spans="1:23" x14ac:dyDescent="0.25">
      <c r="A33" s="31"/>
      <c r="B33" s="28"/>
      <c r="C33" s="28"/>
      <c r="D33" s="28"/>
      <c r="E33" s="28"/>
      <c r="F33" s="28"/>
      <c r="G33" s="28"/>
      <c r="H33" s="28"/>
      <c r="I33" s="28"/>
      <c r="J33" s="28"/>
      <c r="U33" s="5" t="s">
        <v>80</v>
      </c>
      <c r="V33" s="5">
        <v>12</v>
      </c>
      <c r="W33" s="5" t="s">
        <v>123</v>
      </c>
    </row>
    <row r="34" spans="1:23" x14ac:dyDescent="0.25">
      <c r="A34" s="31"/>
      <c r="B34" s="28"/>
      <c r="C34" s="28"/>
      <c r="D34" s="28"/>
      <c r="E34" s="28"/>
      <c r="F34" s="28"/>
      <c r="G34" s="28"/>
      <c r="H34" s="28"/>
      <c r="I34" s="28"/>
      <c r="J34" s="28"/>
      <c r="U34" s="5" t="s">
        <v>80</v>
      </c>
      <c r="V34" s="5">
        <v>13</v>
      </c>
      <c r="W34" s="5" t="s">
        <v>124</v>
      </c>
    </row>
    <row r="35" spans="1:23" x14ac:dyDescent="0.25">
      <c r="A35" s="31"/>
      <c r="B35" s="28"/>
      <c r="C35" s="28"/>
      <c r="D35" s="28"/>
      <c r="E35" s="28"/>
      <c r="F35" s="28"/>
      <c r="G35" s="28"/>
      <c r="H35" s="28"/>
      <c r="I35" s="28"/>
      <c r="J35" s="28"/>
      <c r="U35" s="5" t="s">
        <v>80</v>
      </c>
      <c r="V35" s="5">
        <v>14</v>
      </c>
      <c r="W35" s="5" t="s">
        <v>125</v>
      </c>
    </row>
    <row r="36" spans="1:23" x14ac:dyDescent="0.25">
      <c r="A36" s="31"/>
      <c r="B36" s="28"/>
      <c r="C36" s="28"/>
      <c r="D36" s="28"/>
      <c r="E36" s="28"/>
      <c r="F36" s="28"/>
      <c r="G36" s="28"/>
      <c r="H36" s="28"/>
      <c r="I36" s="28"/>
      <c r="J36" s="28"/>
      <c r="U36" s="5" t="s">
        <v>80</v>
      </c>
      <c r="V36" s="5">
        <v>15</v>
      </c>
      <c r="W36" s="5" t="s">
        <v>126</v>
      </c>
    </row>
    <row r="37" spans="1:23" x14ac:dyDescent="0.25">
      <c r="A37" s="31"/>
      <c r="B37" s="28"/>
      <c r="C37" s="28"/>
      <c r="D37" s="28"/>
      <c r="E37" s="28"/>
      <c r="F37" s="28"/>
      <c r="G37" s="28"/>
      <c r="H37" s="28"/>
      <c r="I37" s="28"/>
      <c r="J37" s="28"/>
      <c r="U37" s="5" t="s">
        <v>96</v>
      </c>
      <c r="V37" s="5">
        <v>1</v>
      </c>
      <c r="W37" s="5" t="s">
        <v>127</v>
      </c>
    </row>
    <row r="38" spans="1:23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U38" s="5" t="s">
        <v>96</v>
      </c>
      <c r="V38" s="5">
        <v>2</v>
      </c>
      <c r="W38" s="5" t="s">
        <v>128</v>
      </c>
    </row>
    <row r="39" spans="1:23" x14ac:dyDescent="0.25">
      <c r="A39" s="28"/>
      <c r="B39" s="28"/>
      <c r="C39" s="28"/>
      <c r="F39" s="28"/>
      <c r="G39" s="28"/>
      <c r="H39" s="28"/>
      <c r="J39" s="28"/>
      <c r="U39" s="5" t="s">
        <v>96</v>
      </c>
      <c r="V39" s="5">
        <v>3</v>
      </c>
      <c r="W39" s="5" t="s">
        <v>129</v>
      </c>
    </row>
    <row r="40" spans="1:23" x14ac:dyDescent="0.25">
      <c r="J40" s="28"/>
      <c r="U40" s="5" t="s">
        <v>96</v>
      </c>
      <c r="V40" s="5">
        <v>4</v>
      </c>
      <c r="W40" s="5" t="s">
        <v>130</v>
      </c>
    </row>
    <row r="41" spans="1:23" x14ac:dyDescent="0.25">
      <c r="J41" s="28"/>
      <c r="U41" s="5" t="s">
        <v>96</v>
      </c>
      <c r="V41" s="5">
        <v>5</v>
      </c>
      <c r="W41" s="5" t="s">
        <v>131</v>
      </c>
    </row>
    <row r="42" spans="1:23" x14ac:dyDescent="0.25">
      <c r="U42" s="5" t="s">
        <v>96</v>
      </c>
      <c r="V42" s="5">
        <v>6</v>
      </c>
      <c r="W42" s="5" t="s">
        <v>132</v>
      </c>
    </row>
    <row r="43" spans="1:23" x14ac:dyDescent="0.25">
      <c r="U43" s="5" t="s">
        <v>94</v>
      </c>
      <c r="V43" s="5">
        <v>1</v>
      </c>
      <c r="W43" s="5" t="s">
        <v>133</v>
      </c>
    </row>
    <row r="44" spans="1:23" x14ac:dyDescent="0.25">
      <c r="U44" s="5" t="s">
        <v>94</v>
      </c>
      <c r="V44" s="5">
        <v>2</v>
      </c>
      <c r="W44" s="5" t="s">
        <v>134</v>
      </c>
    </row>
    <row r="45" spans="1:23" x14ac:dyDescent="0.25">
      <c r="U45" s="5" t="s">
        <v>94</v>
      </c>
      <c r="V45" s="5">
        <v>3</v>
      </c>
      <c r="W45" s="5" t="s">
        <v>135</v>
      </c>
    </row>
    <row r="46" spans="1:23" x14ac:dyDescent="0.25">
      <c r="U46" s="5" t="s">
        <v>94</v>
      </c>
      <c r="V46" s="5">
        <v>4</v>
      </c>
      <c r="W46" s="5" t="s">
        <v>136</v>
      </c>
    </row>
    <row r="47" spans="1:23" x14ac:dyDescent="0.25">
      <c r="U47" s="5" t="s">
        <v>94</v>
      </c>
      <c r="V47" s="5">
        <v>5</v>
      </c>
      <c r="W47" s="5" t="s">
        <v>137</v>
      </c>
    </row>
    <row r="48" spans="1:23" x14ac:dyDescent="0.25">
      <c r="U48" s="5" t="s">
        <v>94</v>
      </c>
      <c r="V48" s="5">
        <v>6</v>
      </c>
      <c r="W48" s="5" t="s">
        <v>138</v>
      </c>
    </row>
    <row r="49" spans="21:23" x14ac:dyDescent="0.25">
      <c r="U49" s="5" t="s">
        <v>90</v>
      </c>
      <c r="V49" s="5">
        <v>1</v>
      </c>
      <c r="W49" s="5" t="s">
        <v>139</v>
      </c>
    </row>
    <row r="50" spans="21:23" x14ac:dyDescent="0.25">
      <c r="U50" s="5" t="s">
        <v>90</v>
      </c>
      <c r="V50" s="5">
        <v>2</v>
      </c>
      <c r="W50" s="5" t="s">
        <v>140</v>
      </c>
    </row>
    <row r="51" spans="21:23" x14ac:dyDescent="0.25">
      <c r="U51" s="5" t="s">
        <v>90</v>
      </c>
      <c r="V51" s="5">
        <v>3</v>
      </c>
      <c r="W51" s="5" t="s">
        <v>141</v>
      </c>
    </row>
    <row r="52" spans="21:23" x14ac:dyDescent="0.25">
      <c r="U52" s="5" t="s">
        <v>90</v>
      </c>
      <c r="V52" s="5">
        <v>4</v>
      </c>
      <c r="W52" s="5" t="s">
        <v>142</v>
      </c>
    </row>
    <row r="53" spans="21:23" x14ac:dyDescent="0.25">
      <c r="U53" s="5" t="s">
        <v>90</v>
      </c>
      <c r="V53" s="5">
        <v>5</v>
      </c>
      <c r="W53" s="5" t="s">
        <v>143</v>
      </c>
    </row>
    <row r="54" spans="21:23" x14ac:dyDescent="0.25">
      <c r="U54" s="5" t="s">
        <v>90</v>
      </c>
      <c r="V54" s="5">
        <v>6</v>
      </c>
      <c r="W54" s="5" t="s">
        <v>144</v>
      </c>
    </row>
    <row r="55" spans="21:23" x14ac:dyDescent="0.25">
      <c r="U55" s="5" t="s">
        <v>90</v>
      </c>
      <c r="V55" s="5">
        <v>7</v>
      </c>
      <c r="W55" s="5" t="s">
        <v>145</v>
      </c>
    </row>
    <row r="56" spans="21:23" x14ac:dyDescent="0.25">
      <c r="U56" s="5" t="s">
        <v>85</v>
      </c>
      <c r="V56" s="5">
        <v>1</v>
      </c>
      <c r="W56" s="5" t="s">
        <v>146</v>
      </c>
    </row>
    <row r="57" spans="21:23" x14ac:dyDescent="0.25">
      <c r="U57" s="5" t="s">
        <v>85</v>
      </c>
      <c r="V57" s="5">
        <v>2</v>
      </c>
      <c r="W57" s="5" t="s">
        <v>147</v>
      </c>
    </row>
    <row r="58" spans="21:23" x14ac:dyDescent="0.25">
      <c r="U58" s="5" t="s">
        <v>85</v>
      </c>
      <c r="V58" s="5">
        <v>3</v>
      </c>
      <c r="W58" s="5" t="s">
        <v>148</v>
      </c>
    </row>
    <row r="59" spans="21:23" x14ac:dyDescent="0.25">
      <c r="U59" s="5" t="s">
        <v>85</v>
      </c>
      <c r="V59" s="5">
        <v>4</v>
      </c>
      <c r="W59" s="5" t="s">
        <v>149</v>
      </c>
    </row>
    <row r="60" spans="21:23" x14ac:dyDescent="0.25">
      <c r="U60" s="5" t="s">
        <v>85</v>
      </c>
      <c r="V60" s="5">
        <v>5</v>
      </c>
      <c r="W60" s="5" t="s">
        <v>150</v>
      </c>
    </row>
    <row r="61" spans="21:23" x14ac:dyDescent="0.25">
      <c r="U61" s="5" t="s">
        <v>85</v>
      </c>
      <c r="V61" s="5">
        <v>6</v>
      </c>
      <c r="W61" s="5" t="s">
        <v>151</v>
      </c>
    </row>
    <row r="62" spans="21:23" x14ac:dyDescent="0.25">
      <c r="U62" s="5" t="s">
        <v>152</v>
      </c>
      <c r="V62" s="5">
        <v>1</v>
      </c>
      <c r="W62" s="5" t="s">
        <v>153</v>
      </c>
    </row>
    <row r="63" spans="21:23" x14ac:dyDescent="0.25">
      <c r="U63" s="5" t="s">
        <v>152</v>
      </c>
      <c r="V63" s="5">
        <v>2</v>
      </c>
      <c r="W63" s="5" t="s">
        <v>154</v>
      </c>
    </row>
    <row r="64" spans="21:23" x14ac:dyDescent="0.25">
      <c r="U64" s="5" t="s">
        <v>152</v>
      </c>
      <c r="V64" s="5">
        <v>3</v>
      </c>
      <c r="W64" s="5" t="s">
        <v>155</v>
      </c>
    </row>
    <row r="65" spans="21:23" x14ac:dyDescent="0.25">
      <c r="U65" s="5" t="s">
        <v>156</v>
      </c>
      <c r="V65" s="5">
        <v>1</v>
      </c>
      <c r="W65" s="5" t="s">
        <v>157</v>
      </c>
    </row>
    <row r="66" spans="21:23" x14ac:dyDescent="0.25">
      <c r="U66" s="5" t="s">
        <v>89</v>
      </c>
      <c r="V66" s="5">
        <v>1</v>
      </c>
      <c r="W66" s="5" t="s">
        <v>158</v>
      </c>
    </row>
    <row r="67" spans="21:23" x14ac:dyDescent="0.25">
      <c r="U67" s="5" t="s">
        <v>89</v>
      </c>
      <c r="V67" s="5">
        <v>2</v>
      </c>
      <c r="W67" s="5" t="s">
        <v>159</v>
      </c>
    </row>
    <row r="68" spans="21:23" x14ac:dyDescent="0.25">
      <c r="U68" s="5" t="s">
        <v>89</v>
      </c>
      <c r="V68" s="5">
        <v>3</v>
      </c>
      <c r="W68" s="5" t="s">
        <v>160</v>
      </c>
    </row>
    <row r="69" spans="21:23" x14ac:dyDescent="0.25">
      <c r="U69" s="5" t="s">
        <v>92</v>
      </c>
      <c r="V69" s="5">
        <v>1</v>
      </c>
      <c r="W69" s="5" t="s">
        <v>161</v>
      </c>
    </row>
  </sheetData>
  <sheetProtection algorithmName="SHA-512" hashValue="jQX7U7UgYKe9RP5yFZ/jTIK6eeCDL4iNk3o37Mtxrx4pwBu45LtMnUQZDq+1/y+M1knLOCvlqOvGm+Ixo2FPYg==" saltValue="PQ4K/ssGeBqAuSouP4dnNA==" spinCount="100000" sheet="1" objects="1" scenarios="1"/>
  <mergeCells count="13">
    <mergeCell ref="AB4:AC4"/>
    <mergeCell ref="AB6:AC6"/>
    <mergeCell ref="K7:L7"/>
    <mergeCell ref="K12:L12"/>
    <mergeCell ref="K16:L16"/>
    <mergeCell ref="A1:C1"/>
    <mergeCell ref="J1:L1"/>
    <mergeCell ref="P1:Q1"/>
    <mergeCell ref="U1:W1"/>
    <mergeCell ref="A12:C12"/>
    <mergeCell ref="F1:H1"/>
    <mergeCell ref="F12:H12"/>
    <mergeCell ref="K9:L9"/>
  </mergeCells>
  <conditionalFormatting sqref="P4 P7 P10 P13">
    <cfRule type="expression" dxfId="28" priority="2">
      <formula>Q4="f"</formula>
    </cfRule>
  </conditionalFormatting>
  <conditionalFormatting sqref="P5 P8 P11 P14">
    <cfRule type="expression" dxfId="27" priority="1">
      <formula>Q5="f"</formula>
    </cfRule>
  </conditionalFormatting>
  <dataValidations count="2">
    <dataValidation type="list" allowBlank="1" showInputMessage="1" showErrorMessage="1" sqref="J20" xr:uid="{0FC16BAC-D644-4F79-ABE1-3FE2D9ECDA34}">
      <formula1>"Cath,Edwin,Jérémy,John,Julien,Vincent"</formula1>
    </dataValidation>
    <dataValidation type="list" allowBlank="1" showInputMessage="1" showErrorMessage="1" sqref="Q3:Q26" xr:uid="{88B4E460-9695-4DA2-B420-0C287606FF23}">
      <formula1>"MTO,SYNO,SO,HUGE,MERGING,REWORK LO,MULTI TOTES"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PlanningPacking">
                <anchor moveWithCells="1" sizeWithCells="1">
                  <from>
                    <xdr:col>9</xdr:col>
                    <xdr:colOff>66675</xdr:colOff>
                    <xdr:row>20</xdr:row>
                    <xdr:rowOff>133350</xdr:rowOff>
                  </from>
                  <to>
                    <xdr:col>11</xdr:col>
                    <xdr:colOff>561975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6933-A1A8-41D3-8010-F785FC074F84}">
  <sheetPr codeName="Sheet1">
    <pageSetUpPr fitToPage="1"/>
  </sheetPr>
  <dimension ref="A1:Z120"/>
  <sheetViews>
    <sheetView zoomScaleNormal="100" workbookViewId="0">
      <selection activeCell="B2" sqref="B2"/>
    </sheetView>
  </sheetViews>
  <sheetFormatPr defaultColWidth="8.85546875" defaultRowHeight="15" x14ac:dyDescent="0.25"/>
  <cols>
    <col min="1" max="1" width="16.7109375" style="82" customWidth="1"/>
    <col min="2" max="2" width="36.42578125" style="82" customWidth="1"/>
    <col min="3" max="3" width="15.42578125" style="82" customWidth="1"/>
    <col min="4" max="4" width="14" style="82" customWidth="1"/>
    <col min="5" max="5" width="10.85546875" style="82" customWidth="1"/>
    <col min="6" max="6" width="0.85546875" style="82" customWidth="1"/>
    <col min="7" max="7" width="16.7109375" style="82" customWidth="1"/>
    <col min="8" max="8" width="36.42578125" style="82" customWidth="1"/>
    <col min="9" max="9" width="15.42578125" style="82" customWidth="1"/>
    <col min="10" max="10" width="14" style="82" customWidth="1"/>
    <col min="11" max="11" width="10.85546875" style="82" customWidth="1"/>
    <col min="12" max="12" width="11.28515625" customWidth="1"/>
  </cols>
  <sheetData>
    <row r="1" spans="1:26" ht="6" customHeight="1" x14ac:dyDescent="0.25">
      <c r="A1" s="88"/>
      <c r="B1" s="114"/>
      <c r="C1" s="115"/>
      <c r="D1" s="115"/>
      <c r="E1" s="115"/>
      <c r="F1" s="115"/>
      <c r="G1" s="115"/>
      <c r="H1" s="115"/>
      <c r="I1" s="115"/>
      <c r="J1" s="115"/>
      <c r="K1" s="118"/>
      <c r="L1" s="86"/>
    </row>
    <row r="2" spans="1:26" ht="42.75" customHeight="1" x14ac:dyDescent="0.25">
      <c r="A2" s="89"/>
      <c r="B2" s="76"/>
      <c r="C2" s="76"/>
      <c r="D2" s="76"/>
      <c r="E2" s="76"/>
      <c r="F2" s="78" t="s">
        <v>360</v>
      </c>
      <c r="G2" s="78"/>
      <c r="H2" s="76"/>
      <c r="I2" s="76"/>
      <c r="J2" s="76"/>
      <c r="K2" s="119"/>
      <c r="L2" s="86"/>
    </row>
    <row r="3" spans="1:26" ht="20.25" hidden="1" customHeight="1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119"/>
      <c r="L3" s="86"/>
    </row>
    <row r="4" spans="1:26" ht="15" hidden="1" customHeight="1" x14ac:dyDescent="0.25">
      <c r="A4" s="75"/>
      <c r="B4" s="76"/>
      <c r="C4" s="76"/>
      <c r="D4" s="76"/>
      <c r="E4" s="76"/>
      <c r="F4" s="76"/>
      <c r="G4" s="76"/>
      <c r="H4" s="76"/>
      <c r="I4" s="76"/>
      <c r="J4" s="76"/>
      <c r="K4" s="119"/>
      <c r="L4" s="86"/>
    </row>
    <row r="5" spans="1:26" ht="30" customHeight="1" x14ac:dyDescent="0.25">
      <c r="A5" s="123">
        <v>46240</v>
      </c>
      <c r="B5" s="80" t="s">
        <v>559</v>
      </c>
      <c r="C5" s="80"/>
      <c r="D5" s="79"/>
      <c r="E5" s="79"/>
      <c r="F5" s="106"/>
      <c r="G5" s="108">
        <v>46240</v>
      </c>
      <c r="H5" s="80" t="s">
        <v>558</v>
      </c>
      <c r="I5" s="79"/>
      <c r="J5" s="79"/>
      <c r="K5" s="120"/>
      <c r="L5" s="85"/>
    </row>
    <row r="6" spans="1:26" ht="15" hidden="1" customHeight="1" x14ac:dyDescent="0.25">
      <c r="A6" s="124"/>
      <c r="B6" s="94"/>
      <c r="C6" s="77"/>
      <c r="D6" s="52"/>
      <c r="E6" s="52"/>
      <c r="F6" s="107"/>
      <c r="G6" s="52"/>
      <c r="H6" s="52"/>
      <c r="I6" s="52"/>
      <c r="J6" s="52"/>
      <c r="K6" s="121"/>
      <c r="L6" s="85"/>
    </row>
    <row r="7" spans="1:26" x14ac:dyDescent="0.25">
      <c r="A7" s="95" t="s">
        <v>361</v>
      </c>
      <c r="B7" s="95" t="s">
        <v>183</v>
      </c>
      <c r="C7" s="95" t="s">
        <v>362</v>
      </c>
      <c r="D7" s="95" t="s">
        <v>363</v>
      </c>
      <c r="E7" s="105" t="s">
        <v>466</v>
      </c>
      <c r="F7" s="104"/>
      <c r="G7" s="97" t="s">
        <v>361</v>
      </c>
      <c r="H7" s="95" t="s">
        <v>183</v>
      </c>
      <c r="I7" s="95" t="s">
        <v>362</v>
      </c>
      <c r="J7" s="95" t="s">
        <v>363</v>
      </c>
      <c r="K7" s="95" t="s">
        <v>466</v>
      </c>
      <c r="L7" s="83"/>
    </row>
    <row r="8" spans="1:26" ht="11.45" customHeight="1" x14ac:dyDescent="0.25">
      <c r="A8" s="101" t="s">
        <v>162</v>
      </c>
      <c r="B8" s="101" t="s">
        <v>460</v>
      </c>
      <c r="C8" s="101"/>
      <c r="D8" s="101" t="s">
        <v>72</v>
      </c>
      <c r="E8" s="101" t="s">
        <v>513</v>
      </c>
      <c r="F8" s="103"/>
      <c r="G8" s="101" t="s">
        <v>162</v>
      </c>
      <c r="H8" s="101" t="s">
        <v>288</v>
      </c>
      <c r="I8" s="101"/>
      <c r="J8" s="101" t="s">
        <v>73</v>
      </c>
      <c r="K8" s="101" t="s">
        <v>513</v>
      </c>
      <c r="L8" s="99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</row>
    <row r="9" spans="1:26" ht="11.45" customHeight="1" x14ac:dyDescent="0.25">
      <c r="A9" s="102" t="s">
        <v>162</v>
      </c>
      <c r="B9" s="102" t="s">
        <v>239</v>
      </c>
      <c r="C9" s="102"/>
      <c r="D9" s="102" t="s">
        <v>72</v>
      </c>
      <c r="E9" s="102" t="s">
        <v>510</v>
      </c>
      <c r="F9" s="103"/>
      <c r="G9" s="102" t="s">
        <v>162</v>
      </c>
      <c r="H9" s="102" t="s">
        <v>300</v>
      </c>
      <c r="I9" s="102"/>
      <c r="J9" s="102" t="s">
        <v>73</v>
      </c>
      <c r="K9" s="102" t="s">
        <v>510</v>
      </c>
      <c r="L9" s="99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</row>
    <row r="10" spans="1:26" ht="11.45" customHeight="1" x14ac:dyDescent="0.25">
      <c r="A10" s="101" t="s">
        <v>162</v>
      </c>
      <c r="B10" s="101" t="s">
        <v>307</v>
      </c>
      <c r="C10" s="101"/>
      <c r="D10" s="101" t="s">
        <v>72</v>
      </c>
      <c r="E10" s="101" t="s">
        <v>507</v>
      </c>
      <c r="F10" s="103"/>
      <c r="G10" s="101" t="s">
        <v>162</v>
      </c>
      <c r="H10" s="101" t="s">
        <v>325</v>
      </c>
      <c r="I10" s="101"/>
      <c r="J10" s="101" t="s">
        <v>73</v>
      </c>
      <c r="K10" s="101" t="s">
        <v>507</v>
      </c>
      <c r="L10" s="99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</row>
    <row r="11" spans="1:26" ht="11.45" customHeight="1" x14ac:dyDescent="0.25">
      <c r="A11" s="102" t="s">
        <v>162</v>
      </c>
      <c r="B11" s="102" t="s">
        <v>246</v>
      </c>
      <c r="C11" s="102"/>
      <c r="D11" s="102" t="s">
        <v>232</v>
      </c>
      <c r="E11" s="102" t="s">
        <v>504</v>
      </c>
      <c r="F11" s="103"/>
      <c r="G11" s="102" t="s">
        <v>162</v>
      </c>
      <c r="H11" s="102" t="s">
        <v>410</v>
      </c>
      <c r="I11" s="102"/>
      <c r="J11" s="102" t="s">
        <v>73</v>
      </c>
      <c r="K11" s="102" t="s">
        <v>504</v>
      </c>
      <c r="L11" s="99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</row>
    <row r="12" spans="1:26" ht="11.45" customHeight="1" x14ac:dyDescent="0.25">
      <c r="A12" s="101" t="s">
        <v>162</v>
      </c>
      <c r="B12" s="101" t="s">
        <v>402</v>
      </c>
      <c r="C12" s="101"/>
      <c r="D12" s="101" t="s">
        <v>72</v>
      </c>
      <c r="E12" s="101" t="s">
        <v>501</v>
      </c>
      <c r="F12" s="103"/>
      <c r="G12" s="101" t="s">
        <v>162</v>
      </c>
      <c r="H12" s="101" t="s">
        <v>249</v>
      </c>
      <c r="I12" s="101"/>
      <c r="J12" s="101" t="s">
        <v>73</v>
      </c>
      <c r="K12" s="101" t="s">
        <v>501</v>
      </c>
      <c r="L12" s="99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</row>
    <row r="13" spans="1:26" ht="11.45" customHeight="1" x14ac:dyDescent="0.25">
      <c r="A13" s="102" t="s">
        <v>162</v>
      </c>
      <c r="B13" s="102" t="s">
        <v>257</v>
      </c>
      <c r="C13" s="102"/>
      <c r="D13" s="102" t="s">
        <v>72</v>
      </c>
      <c r="E13" s="102" t="s">
        <v>498</v>
      </c>
      <c r="F13" s="103"/>
      <c r="G13" s="102" t="s">
        <v>162</v>
      </c>
      <c r="H13" s="102" t="s">
        <v>448</v>
      </c>
      <c r="I13" s="102"/>
      <c r="J13" s="102" t="s">
        <v>73</v>
      </c>
      <c r="K13" s="102" t="s">
        <v>498</v>
      </c>
      <c r="L13" s="99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</row>
    <row r="14" spans="1:26" ht="11.45" customHeight="1" x14ac:dyDescent="0.25">
      <c r="A14" s="101" t="s">
        <v>163</v>
      </c>
      <c r="B14" s="101" t="s">
        <v>351</v>
      </c>
      <c r="C14" s="101"/>
      <c r="D14" s="101" t="s">
        <v>72</v>
      </c>
      <c r="E14" s="101" t="s">
        <v>470</v>
      </c>
      <c r="F14" s="103"/>
      <c r="G14" s="101" t="s">
        <v>163</v>
      </c>
      <c r="H14" s="101" t="s">
        <v>683</v>
      </c>
      <c r="I14" s="101"/>
      <c r="J14" s="101" t="s">
        <v>73</v>
      </c>
      <c r="K14" s="101" t="s">
        <v>470</v>
      </c>
      <c r="L14" s="99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</row>
    <row r="15" spans="1:26" ht="11.45" customHeight="1" x14ac:dyDescent="0.25">
      <c r="A15" s="102" t="s">
        <v>163</v>
      </c>
      <c r="B15" s="102" t="s">
        <v>229</v>
      </c>
      <c r="C15" s="102"/>
      <c r="D15" s="102" t="s">
        <v>72</v>
      </c>
      <c r="E15" s="102" t="s">
        <v>473</v>
      </c>
      <c r="F15" s="103"/>
      <c r="G15" s="102" t="s">
        <v>163</v>
      </c>
      <c r="H15" s="102" t="s">
        <v>426</v>
      </c>
      <c r="I15" s="102"/>
      <c r="J15" s="102" t="s">
        <v>73</v>
      </c>
      <c r="K15" s="102" t="s">
        <v>473</v>
      </c>
      <c r="L15" s="99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</row>
    <row r="16" spans="1:26" ht="11.45" customHeight="1" x14ac:dyDescent="0.25">
      <c r="A16" s="101" t="s">
        <v>163</v>
      </c>
      <c r="B16" s="101" t="s">
        <v>233</v>
      </c>
      <c r="C16" s="101"/>
      <c r="D16" s="101" t="s">
        <v>72</v>
      </c>
      <c r="E16" s="101" t="s">
        <v>476</v>
      </c>
      <c r="F16" s="103"/>
      <c r="G16" s="101" t="s">
        <v>163</v>
      </c>
      <c r="H16" s="101" t="s">
        <v>322</v>
      </c>
      <c r="I16" s="101"/>
      <c r="J16" s="101" t="s">
        <v>73</v>
      </c>
      <c r="K16" s="101" t="s">
        <v>476</v>
      </c>
      <c r="L16" s="99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</row>
    <row r="17" spans="1:26" ht="11.45" customHeight="1" x14ac:dyDescent="0.25">
      <c r="A17" s="102" t="s">
        <v>163</v>
      </c>
      <c r="B17" s="102" t="s">
        <v>736</v>
      </c>
      <c r="C17" s="102"/>
      <c r="D17" s="102" t="s">
        <v>72</v>
      </c>
      <c r="E17" s="102" t="s">
        <v>482</v>
      </c>
      <c r="F17" s="103"/>
      <c r="G17" s="102" t="s">
        <v>163</v>
      </c>
      <c r="H17" s="102" t="s">
        <v>263</v>
      </c>
      <c r="I17" s="102"/>
      <c r="J17" s="102" t="s">
        <v>73</v>
      </c>
      <c r="K17" s="102" t="s">
        <v>482</v>
      </c>
      <c r="L17" s="99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</row>
    <row r="18" spans="1:26" ht="11.45" customHeight="1" x14ac:dyDescent="0.25">
      <c r="A18" s="101" t="s">
        <v>163</v>
      </c>
      <c r="B18" s="101" t="s">
        <v>699</v>
      </c>
      <c r="C18" s="101"/>
      <c r="D18" s="101" t="s">
        <v>72</v>
      </c>
      <c r="E18" s="101" t="s">
        <v>485</v>
      </c>
      <c r="F18" s="103"/>
      <c r="G18" s="101" t="s">
        <v>163</v>
      </c>
      <c r="H18" s="101" t="s">
        <v>458</v>
      </c>
      <c r="I18" s="101"/>
      <c r="J18" s="101" t="s">
        <v>73</v>
      </c>
      <c r="K18" s="101" t="s">
        <v>485</v>
      </c>
      <c r="L18" s="99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</row>
    <row r="19" spans="1:26" ht="11.45" customHeight="1" x14ac:dyDescent="0.25">
      <c r="A19" s="102" t="s">
        <v>354</v>
      </c>
      <c r="B19" s="102" t="s">
        <v>352</v>
      </c>
      <c r="C19" s="102"/>
      <c r="D19" s="102" t="s">
        <v>72</v>
      </c>
      <c r="E19" s="102" t="s">
        <v>469</v>
      </c>
      <c r="F19" s="103"/>
      <c r="G19" s="102" t="s">
        <v>354</v>
      </c>
      <c r="H19" s="102" t="s">
        <v>423</v>
      </c>
      <c r="I19" s="102"/>
      <c r="J19" s="102" t="s">
        <v>73</v>
      </c>
      <c r="K19" s="102" t="s">
        <v>469</v>
      </c>
      <c r="L19" s="99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</row>
    <row r="20" spans="1:26" ht="11.45" customHeight="1" x14ac:dyDescent="0.25">
      <c r="A20" s="101" t="s">
        <v>354</v>
      </c>
      <c r="B20" s="101" t="s">
        <v>430</v>
      </c>
      <c r="C20" s="101"/>
      <c r="D20" s="101" t="s">
        <v>72</v>
      </c>
      <c r="E20" s="101" t="s">
        <v>472</v>
      </c>
      <c r="F20" s="103"/>
      <c r="G20" s="101" t="s">
        <v>354</v>
      </c>
      <c r="H20" s="101" t="s">
        <v>625</v>
      </c>
      <c r="I20" s="101"/>
      <c r="J20" s="101" t="s">
        <v>73</v>
      </c>
      <c r="K20" s="101" t="s">
        <v>472</v>
      </c>
      <c r="L20" s="98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</row>
    <row r="21" spans="1:26" ht="11.45" customHeight="1" x14ac:dyDescent="0.25">
      <c r="A21" s="102" t="s">
        <v>354</v>
      </c>
      <c r="B21" s="102" t="s">
        <v>652</v>
      </c>
      <c r="C21" s="102"/>
      <c r="D21" s="102" t="s">
        <v>72</v>
      </c>
      <c r="E21" s="102" t="s">
        <v>475</v>
      </c>
      <c r="F21" s="103"/>
      <c r="G21" s="102" t="s">
        <v>354</v>
      </c>
      <c r="H21" s="102" t="s">
        <v>274</v>
      </c>
      <c r="I21" s="102"/>
      <c r="J21" s="102" t="s">
        <v>73</v>
      </c>
      <c r="K21" s="102" t="s">
        <v>475</v>
      </c>
      <c r="L21" s="98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</row>
    <row r="22" spans="1:26" ht="11.45" customHeight="1" x14ac:dyDescent="0.25">
      <c r="A22" s="101" t="s">
        <v>354</v>
      </c>
      <c r="B22" s="101" t="s">
        <v>564</v>
      </c>
      <c r="C22" s="101"/>
      <c r="D22" s="101" t="s">
        <v>72</v>
      </c>
      <c r="E22" s="101" t="s">
        <v>478</v>
      </c>
      <c r="F22" s="103"/>
      <c r="G22" s="101" t="s">
        <v>354</v>
      </c>
      <c r="H22" s="101" t="s">
        <v>457</v>
      </c>
      <c r="I22" s="101" t="s">
        <v>370</v>
      </c>
      <c r="J22" s="101" t="s">
        <v>73</v>
      </c>
      <c r="K22" s="101" t="s">
        <v>478</v>
      </c>
      <c r="L22" s="98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</row>
    <row r="23" spans="1:26" ht="11.45" customHeight="1" x14ac:dyDescent="0.25">
      <c r="A23" s="102" t="s">
        <v>354</v>
      </c>
      <c r="B23" s="102" t="s">
        <v>431</v>
      </c>
      <c r="C23" s="102"/>
      <c r="D23" s="102" t="s">
        <v>355</v>
      </c>
      <c r="E23" s="102" t="s">
        <v>481</v>
      </c>
      <c r="F23" s="103"/>
      <c r="G23" s="102" t="s">
        <v>354</v>
      </c>
      <c r="H23" s="102" t="s">
        <v>424</v>
      </c>
      <c r="I23" s="102"/>
      <c r="J23" s="102" t="s">
        <v>73</v>
      </c>
      <c r="K23" s="102" t="s">
        <v>484</v>
      </c>
      <c r="L23" s="98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</row>
    <row r="24" spans="1:26" ht="11.45" customHeight="1" x14ac:dyDescent="0.25">
      <c r="A24" s="101" t="s">
        <v>354</v>
      </c>
      <c r="B24" s="101" t="s">
        <v>435</v>
      </c>
      <c r="C24" s="101"/>
      <c r="D24" s="101" t="s">
        <v>72</v>
      </c>
      <c r="E24" s="101" t="s">
        <v>484</v>
      </c>
      <c r="F24" s="103"/>
      <c r="G24" s="101" t="s">
        <v>354</v>
      </c>
      <c r="H24" s="101" t="s">
        <v>344</v>
      </c>
      <c r="I24" s="101"/>
      <c r="J24" s="101" t="s">
        <v>73</v>
      </c>
      <c r="K24" s="101" t="s">
        <v>487</v>
      </c>
      <c r="L24" s="98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</row>
    <row r="25" spans="1:26" ht="11.45" customHeight="1" x14ac:dyDescent="0.25">
      <c r="A25" s="102" t="s">
        <v>354</v>
      </c>
      <c r="B25" s="102" t="s">
        <v>207</v>
      </c>
      <c r="C25" s="102"/>
      <c r="D25" s="102" t="s">
        <v>72</v>
      </c>
      <c r="E25" s="102" t="s">
        <v>487</v>
      </c>
      <c r="F25" s="103"/>
      <c r="G25" s="102" t="s">
        <v>354</v>
      </c>
      <c r="H25" s="102" t="s">
        <v>415</v>
      </c>
      <c r="I25" s="102"/>
      <c r="J25" s="102" t="s">
        <v>73</v>
      </c>
      <c r="K25" s="102" t="s">
        <v>490</v>
      </c>
      <c r="L25" s="98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</row>
    <row r="26" spans="1:26" ht="11.45" customHeight="1" x14ac:dyDescent="0.25">
      <c r="A26" s="101" t="s">
        <v>354</v>
      </c>
      <c r="B26" s="101" t="s">
        <v>453</v>
      </c>
      <c r="C26" s="101"/>
      <c r="D26" s="101" t="s">
        <v>72</v>
      </c>
      <c r="E26" s="101" t="s">
        <v>490</v>
      </c>
      <c r="F26" s="103"/>
      <c r="G26" s="101" t="s">
        <v>354</v>
      </c>
      <c r="H26" s="101" t="s">
        <v>634</v>
      </c>
      <c r="I26" s="101" t="s">
        <v>371</v>
      </c>
      <c r="J26" s="101" t="s">
        <v>73</v>
      </c>
      <c r="K26" s="101" t="s">
        <v>493</v>
      </c>
      <c r="L26" s="98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</row>
    <row r="27" spans="1:26" ht="11.45" customHeight="1" x14ac:dyDescent="0.25">
      <c r="A27" s="102" t="s">
        <v>354</v>
      </c>
      <c r="B27" s="102" t="s">
        <v>578</v>
      </c>
      <c r="C27" s="102"/>
      <c r="D27" s="102" t="s">
        <v>72</v>
      </c>
      <c r="E27" s="102" t="s">
        <v>493</v>
      </c>
      <c r="F27" s="103"/>
      <c r="G27" s="102" t="s">
        <v>354</v>
      </c>
      <c r="H27" s="102" t="s">
        <v>438</v>
      </c>
      <c r="I27" s="102"/>
      <c r="J27" s="102" t="s">
        <v>73</v>
      </c>
      <c r="K27" s="102" t="s">
        <v>496</v>
      </c>
      <c r="L27" s="98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</row>
    <row r="28" spans="1:26" ht="11.45" customHeight="1" x14ac:dyDescent="0.25">
      <c r="A28" s="101" t="s">
        <v>354</v>
      </c>
      <c r="B28" s="101" t="s">
        <v>345</v>
      </c>
      <c r="C28" s="101"/>
      <c r="D28" s="101" t="s">
        <v>72</v>
      </c>
      <c r="E28" s="101" t="s">
        <v>496</v>
      </c>
      <c r="F28" s="103"/>
      <c r="G28" s="101" t="s">
        <v>354</v>
      </c>
      <c r="H28" s="101" t="s">
        <v>421</v>
      </c>
      <c r="I28" s="101"/>
      <c r="J28" s="101" t="s">
        <v>73</v>
      </c>
      <c r="K28" s="101" t="s">
        <v>502</v>
      </c>
      <c r="L28" s="98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</row>
    <row r="29" spans="1:26" ht="11.45" customHeight="1" x14ac:dyDescent="0.25">
      <c r="A29" s="102" t="s">
        <v>354</v>
      </c>
      <c r="B29" s="102" t="s">
        <v>284</v>
      </c>
      <c r="C29" s="102"/>
      <c r="D29" s="102" t="s">
        <v>232</v>
      </c>
      <c r="E29" s="102" t="s">
        <v>502</v>
      </c>
      <c r="F29" s="103"/>
      <c r="G29" s="102" t="s">
        <v>354</v>
      </c>
      <c r="H29" s="102" t="s">
        <v>630</v>
      </c>
      <c r="I29" s="102" t="s">
        <v>371</v>
      </c>
      <c r="J29" s="102" t="s">
        <v>73</v>
      </c>
      <c r="K29" s="102" t="s">
        <v>505</v>
      </c>
      <c r="L29" s="98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</row>
    <row r="30" spans="1:26" ht="11.45" customHeight="1" x14ac:dyDescent="0.25">
      <c r="A30" s="101" t="s">
        <v>354</v>
      </c>
      <c r="B30" s="101" t="s">
        <v>286</v>
      </c>
      <c r="C30" s="101"/>
      <c r="D30" s="101" t="s">
        <v>232</v>
      </c>
      <c r="E30" s="101" t="s">
        <v>505</v>
      </c>
      <c r="F30" s="103"/>
      <c r="G30" s="101" t="s">
        <v>354</v>
      </c>
      <c r="H30" s="101" t="s">
        <v>419</v>
      </c>
      <c r="I30" s="101"/>
      <c r="J30" s="101" t="s">
        <v>73</v>
      </c>
      <c r="K30" s="101" t="s">
        <v>508</v>
      </c>
      <c r="L30" s="98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</row>
    <row r="31" spans="1:26" ht="11.45" customHeight="1" x14ac:dyDescent="0.25">
      <c r="A31" s="102" t="s">
        <v>354</v>
      </c>
      <c r="B31" s="102" t="s">
        <v>287</v>
      </c>
      <c r="C31" s="102"/>
      <c r="D31" s="102" t="s">
        <v>232</v>
      </c>
      <c r="E31" s="102" t="s">
        <v>508</v>
      </c>
      <c r="F31" s="103"/>
      <c r="G31" s="102" t="s">
        <v>354</v>
      </c>
      <c r="H31" s="102" t="s">
        <v>261</v>
      </c>
      <c r="I31" s="102"/>
      <c r="J31" s="102" t="s">
        <v>73</v>
      </c>
      <c r="K31" s="102" t="s">
        <v>514</v>
      </c>
      <c r="L31" s="98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</row>
    <row r="32" spans="1:26" ht="11.45" customHeight="1" x14ac:dyDescent="0.25">
      <c r="A32" s="101" t="s">
        <v>354</v>
      </c>
      <c r="B32" s="101" t="s">
        <v>290</v>
      </c>
      <c r="C32" s="101"/>
      <c r="D32" s="101" t="s">
        <v>355</v>
      </c>
      <c r="E32" s="101" t="s">
        <v>511</v>
      </c>
      <c r="F32" s="103"/>
      <c r="G32" s="101" t="s">
        <v>354</v>
      </c>
      <c r="H32" s="101" t="s">
        <v>454</v>
      </c>
      <c r="I32" s="101"/>
      <c r="J32" s="101" t="s">
        <v>73</v>
      </c>
      <c r="K32" s="101" t="s">
        <v>516</v>
      </c>
      <c r="L32" s="98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</row>
    <row r="33" spans="1:26" ht="11.45" customHeight="1" x14ac:dyDescent="0.25">
      <c r="A33" s="102" t="s">
        <v>354</v>
      </c>
      <c r="B33" s="102" t="s">
        <v>226</v>
      </c>
      <c r="C33" s="102"/>
      <c r="D33" s="102" t="s">
        <v>72</v>
      </c>
      <c r="E33" s="102" t="s">
        <v>514</v>
      </c>
      <c r="F33" s="103"/>
      <c r="G33" s="102" t="s">
        <v>354</v>
      </c>
      <c r="H33" s="102" t="s">
        <v>452</v>
      </c>
      <c r="I33" s="102"/>
      <c r="J33" s="102" t="s">
        <v>73</v>
      </c>
      <c r="K33" s="102" t="s">
        <v>518</v>
      </c>
      <c r="L33" s="98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</row>
    <row r="34" spans="1:26" ht="11.45" customHeight="1" x14ac:dyDescent="0.25">
      <c r="A34" s="101" t="s">
        <v>354</v>
      </c>
      <c r="B34" s="101" t="s">
        <v>342</v>
      </c>
      <c r="C34" s="101"/>
      <c r="D34" s="101" t="s">
        <v>72</v>
      </c>
      <c r="E34" s="101" t="s">
        <v>516</v>
      </c>
      <c r="F34" s="103"/>
      <c r="G34" s="101" t="s">
        <v>354</v>
      </c>
      <c r="H34" s="101" t="s">
        <v>235</v>
      </c>
      <c r="I34" s="101"/>
      <c r="J34" s="101" t="s">
        <v>73</v>
      </c>
      <c r="K34" s="101" t="s">
        <v>520</v>
      </c>
      <c r="L34" s="98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</row>
    <row r="35" spans="1:26" ht="11.45" customHeight="1" x14ac:dyDescent="0.25">
      <c r="A35" s="102" t="s">
        <v>354</v>
      </c>
      <c r="B35" s="102" t="s">
        <v>292</v>
      </c>
      <c r="C35" s="102"/>
      <c r="D35" s="102" t="s">
        <v>72</v>
      </c>
      <c r="E35" s="102" t="s">
        <v>518</v>
      </c>
      <c r="F35" s="103"/>
      <c r="G35" s="102" t="s">
        <v>354</v>
      </c>
      <c r="H35" s="102" t="s">
        <v>236</v>
      </c>
      <c r="I35" s="102"/>
      <c r="J35" s="102" t="s">
        <v>73</v>
      </c>
      <c r="K35" s="102" t="s">
        <v>524</v>
      </c>
      <c r="L35" s="98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</row>
    <row r="36" spans="1:26" ht="11.45" customHeight="1" x14ac:dyDescent="0.25">
      <c r="A36" s="101" t="s">
        <v>354</v>
      </c>
      <c r="B36" s="101" t="s">
        <v>293</v>
      </c>
      <c r="C36" s="101"/>
      <c r="D36" s="101" t="s">
        <v>232</v>
      </c>
      <c r="E36" s="101" t="s">
        <v>520</v>
      </c>
      <c r="F36" s="103"/>
      <c r="G36" s="101" t="s">
        <v>354</v>
      </c>
      <c r="H36" s="101" t="s">
        <v>350</v>
      </c>
      <c r="I36" s="101"/>
      <c r="J36" s="101" t="s">
        <v>73</v>
      </c>
      <c r="K36" s="101" t="s">
        <v>526</v>
      </c>
      <c r="L36" s="98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</row>
    <row r="37" spans="1:26" ht="11.45" customHeight="1" x14ac:dyDescent="0.25">
      <c r="A37" s="102" t="s">
        <v>354</v>
      </c>
      <c r="B37" s="102" t="s">
        <v>425</v>
      </c>
      <c r="C37" s="102"/>
      <c r="D37" s="102" t="s">
        <v>72</v>
      </c>
      <c r="E37" s="102" t="s">
        <v>524</v>
      </c>
      <c r="F37" s="103"/>
      <c r="G37" s="102" t="s">
        <v>354</v>
      </c>
      <c r="H37" s="102" t="s">
        <v>723</v>
      </c>
      <c r="I37" s="102"/>
      <c r="J37" s="102" t="s">
        <v>73</v>
      </c>
      <c r="K37" s="102" t="s">
        <v>528</v>
      </c>
      <c r="L37" s="98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</row>
    <row r="38" spans="1:26" ht="11.45" customHeight="1" x14ac:dyDescent="0.25">
      <c r="A38" s="101" t="s">
        <v>354</v>
      </c>
      <c r="B38" s="101" t="s">
        <v>338</v>
      </c>
      <c r="C38" s="101" t="s">
        <v>370</v>
      </c>
      <c r="D38" s="101" t="s">
        <v>72</v>
      </c>
      <c r="E38" s="101" t="s">
        <v>526</v>
      </c>
      <c r="F38" s="103"/>
      <c r="G38" s="101" t="s">
        <v>354</v>
      </c>
      <c r="H38" s="101" t="s">
        <v>271</v>
      </c>
      <c r="I38" s="101"/>
      <c r="J38" s="101" t="s">
        <v>73</v>
      </c>
      <c r="K38" s="101" t="s">
        <v>529</v>
      </c>
      <c r="L38" s="98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</row>
    <row r="39" spans="1:26" ht="11.45" customHeight="1" x14ac:dyDescent="0.25">
      <c r="A39" s="102" t="s">
        <v>354</v>
      </c>
      <c r="B39" s="102" t="s">
        <v>296</v>
      </c>
      <c r="C39" s="102"/>
      <c r="D39" s="102" t="s">
        <v>72</v>
      </c>
      <c r="E39" s="102" t="s">
        <v>528</v>
      </c>
      <c r="F39" s="103"/>
      <c r="G39" s="102" t="s">
        <v>354</v>
      </c>
      <c r="H39" s="102" t="s">
        <v>323</v>
      </c>
      <c r="I39" s="102"/>
      <c r="J39" s="102" t="s">
        <v>73</v>
      </c>
      <c r="K39" s="102" t="s">
        <v>530</v>
      </c>
      <c r="L39" s="98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</row>
    <row r="40" spans="1:26" ht="11.45" customHeight="1" x14ac:dyDescent="0.25">
      <c r="A40" s="101" t="s">
        <v>354</v>
      </c>
      <c r="B40" s="101" t="s">
        <v>339</v>
      </c>
      <c r="C40" s="101"/>
      <c r="D40" s="101" t="s">
        <v>72</v>
      </c>
      <c r="E40" s="101" t="s">
        <v>529</v>
      </c>
      <c r="F40" s="103"/>
      <c r="G40" s="101" t="s">
        <v>354</v>
      </c>
      <c r="H40" s="101" t="s">
        <v>250</v>
      </c>
      <c r="I40" s="101"/>
      <c r="J40" s="101" t="s">
        <v>73</v>
      </c>
      <c r="K40" s="101" t="s">
        <v>531</v>
      </c>
      <c r="L40" s="98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</row>
    <row r="41" spans="1:26" ht="11.45" customHeight="1" x14ac:dyDescent="0.25">
      <c r="A41" s="102" t="s">
        <v>354</v>
      </c>
      <c r="B41" s="102" t="s">
        <v>297</v>
      </c>
      <c r="C41" s="102"/>
      <c r="D41" s="102" t="s">
        <v>72</v>
      </c>
      <c r="E41" s="102" t="s">
        <v>530</v>
      </c>
      <c r="F41" s="103"/>
      <c r="G41" s="102" t="s">
        <v>354</v>
      </c>
      <c r="H41" s="102" t="s">
        <v>565</v>
      </c>
      <c r="I41" s="102"/>
      <c r="J41" s="102" t="s">
        <v>73</v>
      </c>
      <c r="K41" s="102" t="s">
        <v>532</v>
      </c>
      <c r="L41" s="98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</row>
    <row r="42" spans="1:26" ht="11.45" customHeight="1" x14ac:dyDescent="0.25">
      <c r="A42" s="101" t="s">
        <v>354</v>
      </c>
      <c r="B42" s="101" t="s">
        <v>298</v>
      </c>
      <c r="C42" s="101"/>
      <c r="D42" s="101" t="s">
        <v>72</v>
      </c>
      <c r="E42" s="101" t="s">
        <v>531</v>
      </c>
      <c r="F42" s="103"/>
      <c r="G42" s="101" t="s">
        <v>222</v>
      </c>
      <c r="H42" s="101" t="s">
        <v>646</v>
      </c>
      <c r="I42" s="101"/>
      <c r="J42" s="101" t="s">
        <v>73</v>
      </c>
      <c r="K42" s="101"/>
      <c r="L42" s="98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</row>
    <row r="43" spans="1:26" ht="11.45" customHeight="1" x14ac:dyDescent="0.25">
      <c r="A43" s="102" t="s">
        <v>354</v>
      </c>
      <c r="B43" s="102" t="s">
        <v>230</v>
      </c>
      <c r="C43" s="102"/>
      <c r="D43" s="102" t="s">
        <v>72</v>
      </c>
      <c r="E43" s="102" t="s">
        <v>532</v>
      </c>
      <c r="F43" s="103"/>
      <c r="G43" s="102" t="s">
        <v>222</v>
      </c>
      <c r="H43" s="102" t="s">
        <v>308</v>
      </c>
      <c r="I43" s="102"/>
      <c r="J43" s="102" t="s">
        <v>73</v>
      </c>
      <c r="K43" s="102"/>
      <c r="L43" s="98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</row>
    <row r="44" spans="1:26" ht="11.45" customHeight="1" x14ac:dyDescent="0.25">
      <c r="A44" s="101" t="s">
        <v>354</v>
      </c>
      <c r="B44" s="101" t="s">
        <v>299</v>
      </c>
      <c r="C44" s="101" t="s">
        <v>371</v>
      </c>
      <c r="D44" s="101" t="s">
        <v>72</v>
      </c>
      <c r="E44" s="101" t="s">
        <v>534</v>
      </c>
      <c r="F44" s="103"/>
      <c r="G44" s="101" t="s">
        <v>222</v>
      </c>
      <c r="H44" s="101" t="s">
        <v>313</v>
      </c>
      <c r="I44" s="101"/>
      <c r="J44" s="101" t="s">
        <v>73</v>
      </c>
      <c r="K44" s="101"/>
      <c r="L44" s="98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</row>
    <row r="45" spans="1:26" ht="11.45" customHeight="1" x14ac:dyDescent="0.25">
      <c r="A45" s="102" t="s">
        <v>354</v>
      </c>
      <c r="B45" s="102" t="s">
        <v>442</v>
      </c>
      <c r="C45" s="102"/>
      <c r="D45" s="102" t="s">
        <v>72</v>
      </c>
      <c r="E45" s="102" t="s">
        <v>535</v>
      </c>
      <c r="F45" s="103"/>
      <c r="G45" s="102" t="s">
        <v>222</v>
      </c>
      <c r="H45" s="102" t="s">
        <v>243</v>
      </c>
      <c r="I45" s="102"/>
      <c r="J45" s="102" t="s">
        <v>73</v>
      </c>
      <c r="K45" s="102"/>
      <c r="L45" s="98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</row>
    <row r="46" spans="1:26" ht="11.45" customHeight="1" x14ac:dyDescent="0.25">
      <c r="A46" s="101" t="s">
        <v>354</v>
      </c>
      <c r="B46" s="101" t="s">
        <v>304</v>
      </c>
      <c r="C46" s="101"/>
      <c r="D46" s="101" t="s">
        <v>355</v>
      </c>
      <c r="E46" s="101" t="s">
        <v>536</v>
      </c>
      <c r="F46" s="103"/>
      <c r="G46" s="103"/>
      <c r="H46" s="103"/>
      <c r="I46" s="103"/>
      <c r="J46" s="103"/>
      <c r="K46" s="103"/>
      <c r="L46" s="98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</row>
    <row r="47" spans="1:26" ht="11.45" customHeight="1" x14ac:dyDescent="0.25">
      <c r="A47" s="102" t="s">
        <v>354</v>
      </c>
      <c r="B47" s="102" t="s">
        <v>343</v>
      </c>
      <c r="C47" s="102"/>
      <c r="D47" s="102" t="s">
        <v>72</v>
      </c>
      <c r="E47" s="102" t="s">
        <v>537</v>
      </c>
      <c r="F47" s="103"/>
      <c r="G47" s="103"/>
      <c r="H47" s="103"/>
      <c r="I47" s="103"/>
      <c r="J47" s="103"/>
      <c r="K47" s="103"/>
      <c r="L47" s="98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</row>
    <row r="48" spans="1:26" ht="11.45" customHeight="1" x14ac:dyDescent="0.25">
      <c r="A48" s="101" t="s">
        <v>354</v>
      </c>
      <c r="B48" s="101" t="s">
        <v>739</v>
      </c>
      <c r="C48" s="101" t="s">
        <v>371</v>
      </c>
      <c r="D48" s="101" t="s">
        <v>72</v>
      </c>
      <c r="E48" s="101" t="s">
        <v>538</v>
      </c>
      <c r="F48" s="103"/>
      <c r="G48" s="103"/>
      <c r="H48" s="103"/>
      <c r="I48" s="103"/>
      <c r="J48" s="103"/>
      <c r="K48" s="103"/>
      <c r="L48" s="98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</row>
    <row r="49" spans="1:26" ht="11.45" customHeight="1" x14ac:dyDescent="0.25">
      <c r="A49" s="102" t="s">
        <v>354</v>
      </c>
      <c r="B49" s="102" t="s">
        <v>456</v>
      </c>
      <c r="C49" s="102"/>
      <c r="D49" s="102" t="s">
        <v>72</v>
      </c>
      <c r="E49" s="102" t="s">
        <v>539</v>
      </c>
      <c r="F49" s="103"/>
      <c r="G49" s="103"/>
      <c r="H49" s="103"/>
      <c r="I49" s="103"/>
      <c r="J49" s="103"/>
      <c r="K49" s="103"/>
      <c r="L49" s="98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</row>
    <row r="50" spans="1:26" ht="11.45" customHeight="1" x14ac:dyDescent="0.25">
      <c r="A50" s="101" t="s">
        <v>354</v>
      </c>
      <c r="B50" s="101" t="s">
        <v>427</v>
      </c>
      <c r="C50" s="101"/>
      <c r="D50" s="101" t="s">
        <v>72</v>
      </c>
      <c r="E50" s="101" t="s">
        <v>540</v>
      </c>
      <c r="F50" s="103"/>
      <c r="G50" s="103"/>
      <c r="H50" s="103"/>
      <c r="I50" s="103"/>
      <c r="J50" s="103"/>
      <c r="K50" s="103"/>
      <c r="L50" s="98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</row>
    <row r="51" spans="1:26" ht="11.45" customHeight="1" x14ac:dyDescent="0.25">
      <c r="A51" s="102" t="s">
        <v>354</v>
      </c>
      <c r="B51" s="102" t="s">
        <v>318</v>
      </c>
      <c r="C51" s="102"/>
      <c r="D51" s="102" t="s">
        <v>232</v>
      </c>
      <c r="E51" s="102" t="s">
        <v>541</v>
      </c>
      <c r="F51" s="103"/>
      <c r="G51" s="103"/>
      <c r="H51" s="103"/>
      <c r="I51" s="103"/>
      <c r="J51" s="103"/>
      <c r="K51" s="103"/>
      <c r="L51" s="98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</row>
    <row r="52" spans="1:26" ht="11.45" customHeight="1" x14ac:dyDescent="0.25">
      <c r="A52" s="101" t="s">
        <v>354</v>
      </c>
      <c r="B52" s="101" t="s">
        <v>321</v>
      </c>
      <c r="C52" s="101"/>
      <c r="D52" s="101" t="s">
        <v>355</v>
      </c>
      <c r="E52" s="101" t="s">
        <v>542</v>
      </c>
      <c r="F52" s="103"/>
      <c r="G52" s="103"/>
      <c r="H52" s="103"/>
      <c r="I52" s="103"/>
      <c r="J52" s="103"/>
      <c r="K52" s="103"/>
      <c r="L52" s="98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</row>
    <row r="53" spans="1:26" ht="11.45" customHeight="1" x14ac:dyDescent="0.25">
      <c r="A53" s="102" t="s">
        <v>354</v>
      </c>
      <c r="B53" s="102" t="s">
        <v>341</v>
      </c>
      <c r="C53" s="102"/>
      <c r="D53" s="102" t="s">
        <v>72</v>
      </c>
      <c r="E53" s="102" t="s">
        <v>543</v>
      </c>
      <c r="F53" s="103"/>
      <c r="G53" s="103"/>
      <c r="H53" s="103"/>
      <c r="I53" s="103"/>
      <c r="J53" s="103"/>
      <c r="K53" s="103"/>
      <c r="L53" s="98"/>
      <c r="M53" s="100"/>
      <c r="N53" s="100"/>
      <c r="O53" s="100"/>
      <c r="P53" s="100"/>
      <c r="Q53" s="100"/>
      <c r="R53" s="100"/>
      <c r="S53" s="100"/>
      <c r="T53" s="100"/>
      <c r="U53" s="100"/>
      <c r="V53" s="100"/>
      <c r="W53" s="100"/>
      <c r="X53" s="100"/>
      <c r="Y53" s="100"/>
      <c r="Z53" s="100"/>
    </row>
    <row r="54" spans="1:26" ht="11.45" customHeight="1" x14ac:dyDescent="0.25">
      <c r="A54" s="101" t="s">
        <v>354</v>
      </c>
      <c r="B54" s="101" t="s">
        <v>269</v>
      </c>
      <c r="C54" s="101"/>
      <c r="D54" s="101" t="s">
        <v>72</v>
      </c>
      <c r="E54" s="101" t="s">
        <v>544</v>
      </c>
      <c r="F54" s="103"/>
      <c r="G54" s="103"/>
      <c r="H54" s="103"/>
      <c r="I54" s="103"/>
      <c r="J54" s="103"/>
      <c r="K54" s="103"/>
      <c r="L54" s="98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0"/>
      <c r="X54" s="100"/>
      <c r="Y54" s="100"/>
      <c r="Z54" s="100"/>
    </row>
    <row r="55" spans="1:26" ht="11.45" customHeight="1" x14ac:dyDescent="0.25">
      <c r="A55" s="125" t="s">
        <v>354</v>
      </c>
      <c r="B55" s="125" t="s">
        <v>444</v>
      </c>
      <c r="C55" s="125"/>
      <c r="D55" s="125" t="s">
        <v>232</v>
      </c>
      <c r="E55" s="125" t="s">
        <v>545</v>
      </c>
      <c r="F55" s="103"/>
      <c r="G55" s="103"/>
      <c r="H55" s="126"/>
      <c r="I55" s="126"/>
      <c r="J55" s="126"/>
      <c r="K55" s="126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0"/>
      <c r="X55" s="100"/>
      <c r="Y55" s="100"/>
      <c r="Z55" s="100"/>
    </row>
    <row r="56" spans="1:26" ht="11.45" customHeight="1" x14ac:dyDescent="0.25">
      <c r="A56" s="127" t="s">
        <v>354</v>
      </c>
      <c r="B56" s="127" t="s">
        <v>268</v>
      </c>
      <c r="C56" s="127"/>
      <c r="D56" s="127" t="s">
        <v>72</v>
      </c>
      <c r="E56" s="127" t="s">
        <v>546</v>
      </c>
      <c r="F56" s="103"/>
      <c r="G56" s="103"/>
      <c r="H56" s="126"/>
      <c r="I56" s="126"/>
      <c r="J56" s="126"/>
      <c r="K56" s="126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</row>
    <row r="57" spans="1:26" ht="11.45" customHeight="1" x14ac:dyDescent="0.25">
      <c r="A57" s="125" t="s">
        <v>354</v>
      </c>
      <c r="B57" s="125" t="s">
        <v>253</v>
      </c>
      <c r="C57" s="125"/>
      <c r="D57" s="125" t="s">
        <v>355</v>
      </c>
      <c r="E57" s="125" t="s">
        <v>547</v>
      </c>
      <c r="F57" s="103"/>
      <c r="G57" s="103"/>
      <c r="H57" s="126"/>
      <c r="I57" s="126"/>
      <c r="J57" s="126"/>
      <c r="K57" s="126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0"/>
      <c r="X57" s="100"/>
      <c r="Y57" s="100"/>
      <c r="Z57" s="100"/>
    </row>
    <row r="58" spans="1:26" ht="11.45" customHeight="1" x14ac:dyDescent="0.25">
      <c r="A58" s="127" t="s">
        <v>354</v>
      </c>
      <c r="B58" s="127" t="s">
        <v>459</v>
      </c>
      <c r="C58" s="127"/>
      <c r="D58" s="127" t="s">
        <v>72</v>
      </c>
      <c r="E58" s="127" t="s">
        <v>548</v>
      </c>
      <c r="F58" s="103"/>
      <c r="G58" s="103"/>
      <c r="H58" s="126"/>
      <c r="I58" s="126"/>
      <c r="J58" s="126"/>
      <c r="K58" s="126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</row>
    <row r="59" spans="1:26" ht="11.45" customHeight="1" x14ac:dyDescent="0.25">
      <c r="A59" s="125" t="s">
        <v>354</v>
      </c>
      <c r="B59" s="125" t="s">
        <v>450</v>
      </c>
      <c r="C59" s="125"/>
      <c r="D59" s="125" t="s">
        <v>232</v>
      </c>
      <c r="E59" s="125" t="s">
        <v>549</v>
      </c>
      <c r="F59" s="103"/>
      <c r="G59" s="103"/>
      <c r="H59" s="126"/>
      <c r="I59" s="126"/>
      <c r="J59" s="126"/>
      <c r="K59" s="126"/>
      <c r="L59" s="100"/>
      <c r="M59" s="100"/>
      <c r="N59" s="100"/>
      <c r="O59" s="100"/>
      <c r="P59" s="100"/>
      <c r="Q59" s="100"/>
      <c r="R59" s="100"/>
      <c r="S59" s="100"/>
      <c r="T59" s="100"/>
      <c r="U59" s="100"/>
      <c r="V59" s="100"/>
      <c r="W59" s="100"/>
      <c r="X59" s="100"/>
      <c r="Y59" s="100"/>
      <c r="Z59" s="100"/>
    </row>
    <row r="60" spans="1:26" ht="11.45" customHeight="1" x14ac:dyDescent="0.25">
      <c r="A60" s="127" t="s">
        <v>354</v>
      </c>
      <c r="B60" s="127" t="s">
        <v>337</v>
      </c>
      <c r="C60" s="127"/>
      <c r="D60" s="127" t="s">
        <v>355</v>
      </c>
      <c r="E60" s="127"/>
      <c r="F60" s="103"/>
      <c r="G60" s="103"/>
      <c r="H60" s="126"/>
      <c r="I60" s="126"/>
      <c r="J60" s="126"/>
      <c r="K60" s="126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</row>
    <row r="61" spans="1:26" ht="11.45" customHeight="1" x14ac:dyDescent="0.25">
      <c r="A61" s="125" t="s">
        <v>222</v>
      </c>
      <c r="B61" s="125" t="s">
        <v>395</v>
      </c>
      <c r="C61" s="125"/>
      <c r="D61" s="125" t="s">
        <v>72</v>
      </c>
      <c r="E61" s="125"/>
      <c r="F61" s="103"/>
      <c r="G61" s="103"/>
      <c r="H61" s="126"/>
      <c r="I61" s="126"/>
      <c r="J61" s="126"/>
      <c r="K61" s="126"/>
      <c r="L61" s="100"/>
      <c r="M61" s="100"/>
      <c r="N61" s="100"/>
      <c r="O61" s="100"/>
      <c r="P61" s="100"/>
      <c r="Q61" s="100"/>
      <c r="R61" s="100"/>
      <c r="S61" s="100"/>
      <c r="T61" s="100"/>
      <c r="U61" s="100"/>
      <c r="V61" s="100"/>
      <c r="W61" s="100"/>
      <c r="X61" s="100"/>
      <c r="Y61" s="100"/>
      <c r="Z61" s="100"/>
    </row>
    <row r="62" spans="1:26" ht="11.45" customHeight="1" x14ac:dyDescent="0.25">
      <c r="A62" s="127" t="s">
        <v>222</v>
      </c>
      <c r="B62" s="127" t="s">
        <v>439</v>
      </c>
      <c r="C62" s="127"/>
      <c r="D62" s="127" t="s">
        <v>72</v>
      </c>
      <c r="E62" s="127"/>
      <c r="F62" s="103"/>
      <c r="G62" s="103"/>
      <c r="H62" s="126"/>
      <c r="I62" s="126"/>
      <c r="J62" s="126"/>
      <c r="K62" s="126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  <c r="W62" s="100"/>
      <c r="X62" s="100"/>
      <c r="Y62" s="100"/>
      <c r="Z62" s="100"/>
    </row>
    <row r="63" spans="1:26" ht="11.45" customHeight="1" x14ac:dyDescent="0.25">
      <c r="A63" s="125" t="s">
        <v>222</v>
      </c>
      <c r="B63" s="125" t="s">
        <v>346</v>
      </c>
      <c r="C63" s="125"/>
      <c r="D63" s="125" t="s">
        <v>72</v>
      </c>
      <c r="E63" s="125"/>
      <c r="F63" s="103"/>
      <c r="G63" s="103"/>
      <c r="H63" s="126"/>
      <c r="I63" s="126"/>
      <c r="J63" s="126"/>
      <c r="K63" s="126"/>
      <c r="L63" s="100"/>
      <c r="M63" s="100"/>
      <c r="N63" s="100"/>
      <c r="O63" s="100"/>
      <c r="P63" s="100"/>
      <c r="Q63" s="100"/>
      <c r="R63" s="100"/>
      <c r="S63" s="100"/>
      <c r="T63" s="100"/>
      <c r="U63" s="100"/>
      <c r="V63" s="100"/>
      <c r="W63" s="100"/>
      <c r="X63" s="100"/>
      <c r="Y63" s="100"/>
      <c r="Z63" s="100"/>
    </row>
    <row r="64" spans="1:26" ht="11.45" customHeight="1" x14ac:dyDescent="0.25">
      <c r="A64" s="127" t="s">
        <v>222</v>
      </c>
      <c r="B64" s="127" t="s">
        <v>310</v>
      </c>
      <c r="C64" s="127"/>
      <c r="D64" s="127" t="s">
        <v>72</v>
      </c>
      <c r="E64" s="127"/>
      <c r="F64" s="103"/>
      <c r="G64" s="103"/>
      <c r="H64" s="126"/>
      <c r="I64" s="126"/>
      <c r="J64" s="126"/>
      <c r="K64" s="126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  <c r="W64" s="100"/>
      <c r="X64" s="100"/>
      <c r="Y64" s="100"/>
      <c r="Z64" s="100"/>
    </row>
    <row r="65" spans="1:26" ht="11.45" customHeight="1" x14ac:dyDescent="0.25">
      <c r="A65" s="125" t="s">
        <v>222</v>
      </c>
      <c r="B65" s="125" t="s">
        <v>648</v>
      </c>
      <c r="C65" s="125"/>
      <c r="D65" s="125" t="s">
        <v>72</v>
      </c>
      <c r="E65" s="125"/>
      <c r="F65" s="103"/>
      <c r="G65" s="103"/>
      <c r="H65" s="126"/>
      <c r="I65" s="126"/>
      <c r="J65" s="126"/>
      <c r="K65" s="126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</row>
    <row r="66" spans="1:26" ht="18" customHeight="1" x14ac:dyDescent="0.25">
      <c r="A66" s="128"/>
      <c r="B66" s="128"/>
      <c r="C66" s="128"/>
      <c r="D66" s="128"/>
      <c r="E66" s="128"/>
      <c r="F66" s="99"/>
      <c r="G66" s="99"/>
      <c r="H66" s="128"/>
      <c r="I66" s="128"/>
      <c r="J66" s="128"/>
      <c r="K66" s="128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</row>
    <row r="67" spans="1:26" ht="18" customHeight="1" x14ac:dyDescent="0.25">
      <c r="A67" s="128"/>
      <c r="B67" s="128"/>
      <c r="C67" s="128"/>
      <c r="D67" s="128"/>
      <c r="E67" s="128"/>
      <c r="F67" s="128"/>
      <c r="G67" s="128"/>
      <c r="H67" s="128"/>
      <c r="I67" s="128"/>
      <c r="J67" s="128"/>
      <c r="K67" s="128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</row>
    <row r="68" spans="1:26" ht="18" customHeight="1" x14ac:dyDescent="0.25">
      <c r="A68" s="129"/>
      <c r="B68" s="129"/>
      <c r="C68" s="129"/>
      <c r="D68" s="129"/>
      <c r="E68" s="129"/>
      <c r="F68" s="129"/>
      <c r="G68" s="129"/>
      <c r="H68" s="129"/>
      <c r="I68" s="129"/>
      <c r="J68" s="129"/>
      <c r="K68" s="129"/>
      <c r="L68" s="100"/>
      <c r="M68" s="100"/>
      <c r="N68" s="100"/>
      <c r="O68" s="100"/>
      <c r="P68" s="100"/>
      <c r="Q68" s="100"/>
      <c r="R68" s="100"/>
      <c r="S68" s="100"/>
      <c r="T68" s="100"/>
      <c r="U68" s="100"/>
      <c r="V68" s="100"/>
      <c r="W68" s="100"/>
      <c r="X68" s="100"/>
      <c r="Y68" s="100"/>
      <c r="Z68" s="100"/>
    </row>
    <row r="69" spans="1:26" ht="18" customHeight="1" x14ac:dyDescent="0.25">
      <c r="A69" s="129"/>
      <c r="B69" s="129"/>
      <c r="C69" s="129"/>
      <c r="D69" s="129"/>
      <c r="E69" s="129"/>
      <c r="F69" s="129"/>
      <c r="G69" s="129"/>
      <c r="H69" s="129"/>
      <c r="I69" s="129"/>
      <c r="J69" s="129"/>
      <c r="K69" s="129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</row>
    <row r="70" spans="1:26" ht="18" customHeight="1" x14ac:dyDescent="0.25">
      <c r="A70" s="129"/>
      <c r="B70" s="129"/>
      <c r="C70" s="129"/>
      <c r="D70" s="129"/>
      <c r="E70" s="129"/>
      <c r="F70" s="129"/>
      <c r="G70" s="129"/>
      <c r="H70" s="129"/>
      <c r="I70" s="129"/>
      <c r="J70" s="129"/>
      <c r="K70" s="129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</row>
    <row r="71" spans="1:26" ht="18" customHeight="1" x14ac:dyDescent="0.25">
      <c r="A71" s="129"/>
      <c r="B71" s="129"/>
      <c r="C71" s="129"/>
      <c r="D71" s="129"/>
      <c r="E71" s="129"/>
      <c r="F71" s="129"/>
      <c r="G71" s="129"/>
      <c r="H71" s="129"/>
      <c r="I71" s="129"/>
      <c r="J71" s="129"/>
      <c r="K71" s="129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</row>
    <row r="72" spans="1:26" ht="18" customHeight="1" x14ac:dyDescent="0.25">
      <c r="A72" s="129"/>
      <c r="B72" s="129"/>
      <c r="C72" s="129"/>
      <c r="D72" s="129"/>
      <c r="E72" s="129"/>
      <c r="F72" s="129"/>
      <c r="G72" s="129"/>
      <c r="H72" s="129"/>
      <c r="I72" s="129"/>
      <c r="J72" s="129"/>
      <c r="K72" s="129"/>
      <c r="L72" s="100"/>
      <c r="M72" s="100"/>
      <c r="N72" s="100"/>
      <c r="O72" s="100"/>
      <c r="P72" s="100"/>
      <c r="Q72" s="100"/>
      <c r="R72" s="100"/>
      <c r="S72" s="100"/>
      <c r="T72" s="100"/>
      <c r="U72" s="100"/>
      <c r="V72" s="100"/>
      <c r="W72" s="100"/>
      <c r="X72" s="100"/>
      <c r="Y72" s="100"/>
      <c r="Z72" s="100"/>
    </row>
    <row r="73" spans="1:26" ht="18" customHeight="1" x14ac:dyDescent="0.25">
      <c r="A73" s="129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00"/>
      <c r="M73" s="100"/>
      <c r="N73" s="100"/>
      <c r="O73" s="100"/>
      <c r="P73" s="100"/>
      <c r="Q73" s="100"/>
      <c r="R73" s="100"/>
      <c r="S73" s="100"/>
      <c r="T73" s="100"/>
      <c r="U73" s="100"/>
      <c r="V73" s="100"/>
      <c r="W73" s="100"/>
      <c r="X73" s="100"/>
      <c r="Y73" s="100"/>
      <c r="Z73" s="100"/>
    </row>
    <row r="74" spans="1:26" ht="18" customHeight="1" x14ac:dyDescent="0.25">
      <c r="A74" s="129"/>
      <c r="B74" s="129"/>
      <c r="C74" s="129"/>
      <c r="D74" s="129"/>
      <c r="E74" s="129"/>
      <c r="F74" s="129"/>
      <c r="G74" s="129"/>
      <c r="H74" s="129"/>
      <c r="I74" s="129"/>
      <c r="J74" s="129"/>
      <c r="K74" s="129"/>
      <c r="L74" s="100"/>
      <c r="M74" s="100"/>
      <c r="N74" s="100"/>
      <c r="O74" s="100"/>
      <c r="P74" s="100"/>
      <c r="Q74" s="100"/>
      <c r="R74" s="100"/>
      <c r="S74" s="100"/>
      <c r="T74" s="100"/>
      <c r="U74" s="100"/>
      <c r="V74" s="100"/>
      <c r="W74" s="100"/>
      <c r="X74" s="100"/>
      <c r="Y74" s="100"/>
      <c r="Z74" s="100"/>
    </row>
    <row r="75" spans="1:26" ht="18" customHeight="1" x14ac:dyDescent="0.25">
      <c r="A75" s="129"/>
      <c r="B75" s="129"/>
      <c r="C75" s="129"/>
      <c r="D75" s="129"/>
      <c r="E75" s="129"/>
      <c r="F75" s="129"/>
      <c r="G75" s="129"/>
      <c r="H75" s="129"/>
      <c r="I75" s="129"/>
      <c r="J75" s="129"/>
      <c r="K75" s="129"/>
      <c r="L75" s="100"/>
      <c r="M75" s="100"/>
      <c r="N75" s="100"/>
      <c r="O75" s="100"/>
      <c r="P75" s="100"/>
      <c r="Q75" s="100"/>
      <c r="R75" s="100"/>
      <c r="S75" s="100"/>
      <c r="T75" s="100"/>
      <c r="U75" s="100"/>
      <c r="V75" s="100"/>
      <c r="W75" s="100"/>
      <c r="X75" s="100"/>
      <c r="Y75" s="100"/>
      <c r="Z75" s="100"/>
    </row>
    <row r="76" spans="1:26" ht="18" customHeight="1" x14ac:dyDescent="0.25">
      <c r="A76" s="129"/>
      <c r="B76" s="129"/>
      <c r="C76" s="129"/>
      <c r="D76" s="129"/>
      <c r="E76" s="129"/>
      <c r="F76" s="129"/>
      <c r="G76" s="129"/>
      <c r="H76" s="129"/>
      <c r="I76" s="129"/>
      <c r="J76" s="129"/>
      <c r="K76" s="129"/>
      <c r="L76" s="100"/>
      <c r="M76" s="100"/>
      <c r="N76" s="100"/>
      <c r="O76" s="100"/>
      <c r="P76" s="100"/>
      <c r="Q76" s="100"/>
      <c r="R76" s="100"/>
      <c r="S76" s="100"/>
      <c r="T76" s="100"/>
      <c r="U76" s="100"/>
      <c r="V76" s="100"/>
      <c r="W76" s="100"/>
      <c r="X76" s="100"/>
      <c r="Y76" s="100"/>
      <c r="Z76" s="100"/>
    </row>
    <row r="77" spans="1:26" ht="18" customHeight="1" x14ac:dyDescent="0.25">
      <c r="A77" s="129"/>
      <c r="B77" s="129"/>
      <c r="C77" s="129"/>
      <c r="D77" s="129"/>
      <c r="E77" s="129"/>
      <c r="F77" s="129"/>
      <c r="G77" s="129"/>
      <c r="H77" s="129"/>
      <c r="I77" s="129"/>
      <c r="J77" s="129"/>
      <c r="K77" s="129"/>
      <c r="L77" s="100"/>
      <c r="M77" s="100"/>
      <c r="N77" s="100"/>
      <c r="O77" s="100"/>
      <c r="P77" s="100"/>
      <c r="Q77" s="100"/>
      <c r="R77" s="100"/>
      <c r="S77" s="100"/>
      <c r="T77" s="100"/>
      <c r="U77" s="100"/>
      <c r="V77" s="100"/>
      <c r="W77" s="100"/>
      <c r="X77" s="100"/>
      <c r="Y77" s="100"/>
      <c r="Z77" s="100"/>
    </row>
    <row r="78" spans="1:26" ht="18" customHeight="1" x14ac:dyDescent="0.25">
      <c r="A78" s="129"/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00"/>
      <c r="M78" s="100"/>
      <c r="N78" s="100"/>
      <c r="O78" s="100"/>
      <c r="P78" s="100"/>
      <c r="Q78" s="100"/>
      <c r="R78" s="100"/>
      <c r="S78" s="100"/>
      <c r="T78" s="100"/>
      <c r="U78" s="100"/>
      <c r="V78" s="100"/>
      <c r="W78" s="100"/>
      <c r="X78" s="100"/>
      <c r="Y78" s="100"/>
      <c r="Z78" s="100"/>
    </row>
    <row r="79" spans="1:26" ht="18" customHeight="1" x14ac:dyDescent="0.25">
      <c r="A79" s="129"/>
      <c r="B79" s="129"/>
      <c r="C79" s="129"/>
      <c r="D79" s="129"/>
      <c r="E79" s="129"/>
      <c r="F79" s="129"/>
      <c r="G79" s="129"/>
      <c r="H79" s="129"/>
      <c r="I79" s="129"/>
      <c r="J79" s="129"/>
      <c r="K79" s="129"/>
      <c r="L79" s="100"/>
      <c r="M79" s="100"/>
      <c r="N79" s="100"/>
      <c r="O79" s="100"/>
      <c r="P79" s="100"/>
      <c r="Q79" s="100"/>
      <c r="R79" s="100"/>
      <c r="S79" s="100"/>
      <c r="T79" s="100"/>
      <c r="U79" s="100"/>
      <c r="V79" s="100"/>
      <c r="W79" s="100"/>
      <c r="X79" s="100"/>
      <c r="Y79" s="100"/>
      <c r="Z79" s="100"/>
    </row>
    <row r="80" spans="1:26" ht="18" customHeight="1" x14ac:dyDescent="0.25">
      <c r="A80" s="129"/>
      <c r="B80" s="129"/>
      <c r="C80" s="129"/>
      <c r="D80" s="129"/>
      <c r="E80" s="129"/>
      <c r="F80" s="129"/>
      <c r="G80" s="129"/>
      <c r="H80" s="129"/>
      <c r="I80" s="129"/>
      <c r="J80" s="129"/>
      <c r="K80" s="129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</row>
    <row r="81" spans="1:26" ht="18" customHeight="1" x14ac:dyDescent="0.25">
      <c r="A81" s="129"/>
      <c r="B81" s="129"/>
      <c r="C81" s="129"/>
      <c r="D81" s="129"/>
      <c r="E81" s="129"/>
      <c r="F81" s="129"/>
      <c r="G81" s="129"/>
      <c r="H81" s="129"/>
      <c r="I81" s="129"/>
      <c r="J81" s="129"/>
      <c r="K81" s="129"/>
      <c r="L81" s="100"/>
      <c r="M81" s="100"/>
      <c r="N81" s="100"/>
      <c r="O81" s="100"/>
      <c r="P81" s="100"/>
      <c r="Q81" s="100"/>
      <c r="R81" s="100"/>
      <c r="S81" s="100"/>
      <c r="T81" s="100"/>
      <c r="U81" s="100"/>
      <c r="V81" s="100"/>
      <c r="W81" s="100"/>
      <c r="X81" s="100"/>
      <c r="Y81" s="100"/>
      <c r="Z81" s="100"/>
    </row>
    <row r="82" spans="1:26" ht="18" customHeight="1" x14ac:dyDescent="0.25">
      <c r="A82" s="129"/>
      <c r="B82" s="129"/>
      <c r="C82" s="129"/>
      <c r="D82" s="129"/>
      <c r="E82" s="129"/>
      <c r="F82" s="129"/>
      <c r="G82" s="129"/>
      <c r="H82" s="129"/>
      <c r="I82" s="129"/>
      <c r="J82" s="129"/>
      <c r="K82" s="129"/>
      <c r="L82" s="100"/>
      <c r="M82" s="100"/>
      <c r="N82" s="100"/>
      <c r="O82" s="100"/>
      <c r="P82" s="100"/>
      <c r="Q82" s="100"/>
      <c r="R82" s="100"/>
      <c r="S82" s="100"/>
      <c r="T82" s="100"/>
      <c r="U82" s="100"/>
      <c r="V82" s="100"/>
      <c r="W82" s="100"/>
      <c r="X82" s="100"/>
      <c r="Y82" s="100"/>
      <c r="Z82" s="100"/>
    </row>
    <row r="83" spans="1:26" ht="18" customHeight="1" x14ac:dyDescent="0.25">
      <c r="A83" s="129"/>
      <c r="B83" s="129"/>
      <c r="C83" s="129"/>
      <c r="D83" s="129"/>
      <c r="E83" s="129"/>
      <c r="F83" s="129"/>
      <c r="G83" s="129"/>
      <c r="H83" s="129"/>
      <c r="I83" s="129"/>
      <c r="J83" s="129"/>
      <c r="K83" s="129"/>
      <c r="L83" s="100"/>
      <c r="M83" s="100"/>
      <c r="N83" s="100"/>
      <c r="O83" s="100"/>
      <c r="P83" s="100"/>
      <c r="Q83" s="100"/>
      <c r="R83" s="100"/>
      <c r="S83" s="100"/>
      <c r="T83" s="100"/>
      <c r="U83" s="100"/>
      <c r="V83" s="100"/>
      <c r="W83" s="100"/>
      <c r="X83" s="100"/>
      <c r="Y83" s="100"/>
      <c r="Z83" s="100"/>
    </row>
    <row r="84" spans="1:26" ht="18" customHeight="1" x14ac:dyDescent="0.25">
      <c r="A84" s="129"/>
      <c r="B84" s="129"/>
      <c r="C84" s="129"/>
      <c r="D84" s="129"/>
      <c r="E84" s="129"/>
      <c r="F84" s="129"/>
      <c r="G84" s="129"/>
      <c r="H84" s="129"/>
      <c r="I84" s="129"/>
      <c r="J84" s="129"/>
      <c r="K84" s="129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</row>
    <row r="85" spans="1:26" ht="18" customHeight="1" x14ac:dyDescent="0.25">
      <c r="A85" s="129"/>
      <c r="B85" s="129"/>
      <c r="C85" s="129"/>
      <c r="D85" s="129"/>
      <c r="E85" s="129"/>
      <c r="F85" s="129"/>
      <c r="G85" s="129"/>
      <c r="H85" s="129"/>
      <c r="I85" s="129"/>
      <c r="J85" s="129"/>
      <c r="K85" s="129"/>
      <c r="L85" s="100"/>
      <c r="M85" s="100"/>
      <c r="N85" s="100"/>
      <c r="O85" s="100"/>
      <c r="P85" s="100"/>
      <c r="Q85" s="100"/>
      <c r="R85" s="100"/>
      <c r="S85" s="100"/>
      <c r="T85" s="100"/>
      <c r="U85" s="100"/>
      <c r="V85" s="100"/>
      <c r="W85" s="100"/>
      <c r="X85" s="100"/>
      <c r="Y85" s="100"/>
      <c r="Z85" s="100"/>
    </row>
    <row r="86" spans="1:26" ht="18" customHeight="1" x14ac:dyDescent="0.25">
      <c r="A86" s="129"/>
      <c r="B86" s="129"/>
      <c r="C86" s="129"/>
      <c r="D86" s="129"/>
      <c r="E86" s="129"/>
      <c r="F86" s="129"/>
      <c r="G86" s="129"/>
      <c r="H86" s="129"/>
      <c r="I86" s="129"/>
      <c r="J86" s="129"/>
      <c r="K86" s="129"/>
      <c r="L86" s="100"/>
      <c r="M86" s="100"/>
      <c r="N86" s="100"/>
      <c r="O86" s="100"/>
      <c r="P86" s="100"/>
      <c r="Q86" s="100"/>
      <c r="R86" s="100"/>
      <c r="S86" s="100"/>
      <c r="T86" s="100"/>
      <c r="U86" s="100"/>
      <c r="V86" s="100"/>
      <c r="W86" s="100"/>
      <c r="X86" s="100"/>
      <c r="Y86" s="100"/>
      <c r="Z86" s="100"/>
    </row>
    <row r="87" spans="1:26" ht="18" customHeight="1" x14ac:dyDescent="0.25">
      <c r="A87" s="129"/>
      <c r="B87" s="129"/>
      <c r="C87" s="129"/>
      <c r="D87" s="129"/>
      <c r="E87" s="129"/>
      <c r="F87" s="129"/>
      <c r="G87" s="129"/>
      <c r="H87" s="129"/>
      <c r="I87" s="129"/>
      <c r="J87" s="129"/>
      <c r="K87" s="129"/>
      <c r="L87" s="100"/>
      <c r="M87" s="100"/>
      <c r="N87" s="100"/>
      <c r="O87" s="100"/>
      <c r="P87" s="100"/>
      <c r="Q87" s="100"/>
      <c r="R87" s="100"/>
      <c r="S87" s="100"/>
      <c r="T87" s="100"/>
      <c r="U87" s="100"/>
      <c r="V87" s="100"/>
      <c r="W87" s="100"/>
      <c r="X87" s="100"/>
      <c r="Y87" s="100"/>
      <c r="Z87" s="100"/>
    </row>
    <row r="88" spans="1:26" ht="18" customHeight="1" x14ac:dyDescent="0.25">
      <c r="A88" s="129"/>
      <c r="B88" s="129"/>
      <c r="C88" s="129"/>
      <c r="D88" s="129"/>
      <c r="E88" s="129"/>
      <c r="F88" s="129"/>
      <c r="G88" s="129"/>
      <c r="H88" s="129"/>
      <c r="I88" s="129"/>
      <c r="J88" s="129"/>
      <c r="K88" s="129"/>
      <c r="L88" s="100"/>
      <c r="M88" s="100"/>
      <c r="N88" s="100"/>
      <c r="O88" s="100"/>
      <c r="P88" s="100"/>
      <c r="Q88" s="100"/>
      <c r="R88" s="100"/>
      <c r="S88" s="100"/>
      <c r="T88" s="100"/>
      <c r="U88" s="100"/>
      <c r="V88" s="100"/>
      <c r="W88" s="100"/>
      <c r="X88" s="100"/>
      <c r="Y88" s="100"/>
      <c r="Z88" s="100"/>
    </row>
    <row r="89" spans="1:26" ht="18" customHeight="1" x14ac:dyDescent="0.25">
      <c r="A89" s="129"/>
      <c r="B89" s="129"/>
      <c r="C89" s="129"/>
      <c r="D89" s="129"/>
      <c r="E89" s="129"/>
      <c r="F89" s="129"/>
      <c r="G89" s="129"/>
      <c r="H89" s="129"/>
      <c r="I89" s="129"/>
      <c r="J89" s="129"/>
      <c r="K89" s="129"/>
      <c r="L89" s="100"/>
      <c r="M89" s="100"/>
      <c r="N89" s="100"/>
      <c r="O89" s="100"/>
      <c r="P89" s="100"/>
      <c r="Q89" s="100"/>
      <c r="R89" s="100"/>
      <c r="S89" s="100"/>
      <c r="T89" s="100"/>
      <c r="U89" s="100"/>
      <c r="V89" s="100"/>
      <c r="W89" s="100"/>
      <c r="X89" s="100"/>
      <c r="Y89" s="100"/>
      <c r="Z89" s="100"/>
    </row>
    <row r="90" spans="1:26" ht="18" customHeight="1" x14ac:dyDescent="0.25">
      <c r="A90" s="129"/>
      <c r="B90" s="129"/>
      <c r="C90" s="129"/>
      <c r="D90" s="129"/>
      <c r="E90" s="129"/>
      <c r="F90" s="129"/>
      <c r="G90" s="129"/>
      <c r="H90" s="129"/>
      <c r="I90" s="129"/>
      <c r="J90" s="129"/>
      <c r="K90" s="129"/>
      <c r="L90" s="100"/>
      <c r="M90" s="100"/>
      <c r="N90" s="100"/>
      <c r="O90" s="100"/>
      <c r="P90" s="100"/>
      <c r="Q90" s="100"/>
      <c r="R90" s="100"/>
      <c r="S90" s="100"/>
      <c r="T90" s="100"/>
      <c r="U90" s="100"/>
      <c r="V90" s="100"/>
      <c r="W90" s="100"/>
      <c r="X90" s="100"/>
      <c r="Y90" s="100"/>
      <c r="Z90" s="100"/>
    </row>
    <row r="91" spans="1:26" ht="18" customHeight="1" x14ac:dyDescent="0.25">
      <c r="A91" s="129"/>
      <c r="B91" s="129"/>
      <c r="C91" s="129"/>
      <c r="D91" s="129"/>
      <c r="E91" s="129"/>
      <c r="F91" s="129"/>
      <c r="G91" s="129"/>
      <c r="H91" s="129"/>
      <c r="I91" s="129"/>
      <c r="J91" s="129"/>
      <c r="K91" s="129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</row>
    <row r="92" spans="1:26" ht="18" customHeight="1" x14ac:dyDescent="0.25">
      <c r="A92" s="129"/>
      <c r="B92" s="129"/>
      <c r="C92" s="129"/>
      <c r="D92" s="129"/>
      <c r="E92" s="129"/>
      <c r="F92" s="129"/>
      <c r="G92" s="129"/>
      <c r="H92" s="129"/>
      <c r="I92" s="129"/>
      <c r="J92" s="129"/>
      <c r="K92" s="129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</row>
    <row r="93" spans="1:26" ht="18" customHeight="1" x14ac:dyDescent="0.25">
      <c r="A93" s="129"/>
      <c r="B93" s="129"/>
      <c r="C93" s="129"/>
      <c r="D93" s="129"/>
      <c r="E93" s="129"/>
      <c r="F93" s="129"/>
      <c r="G93" s="129"/>
      <c r="H93" s="129"/>
      <c r="I93" s="129"/>
      <c r="J93" s="129"/>
      <c r="K93" s="129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</row>
    <row r="94" spans="1:26" ht="18" customHeight="1" x14ac:dyDescent="0.25">
      <c r="A94" s="129"/>
      <c r="B94" s="129"/>
      <c r="C94" s="129"/>
      <c r="D94" s="129"/>
      <c r="E94" s="129"/>
      <c r="F94" s="129"/>
      <c r="G94" s="129"/>
      <c r="H94" s="129"/>
      <c r="I94" s="129"/>
      <c r="J94" s="129"/>
      <c r="K94" s="129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</row>
    <row r="95" spans="1:26" ht="18" customHeight="1" x14ac:dyDescent="0.25">
      <c r="A95" s="129"/>
      <c r="B95" s="129"/>
      <c r="C95" s="129"/>
      <c r="D95" s="129"/>
      <c r="E95" s="129"/>
      <c r="F95" s="129"/>
      <c r="G95" s="129"/>
      <c r="H95" s="129"/>
      <c r="I95" s="129"/>
      <c r="J95" s="129"/>
      <c r="K95" s="129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</row>
    <row r="96" spans="1:26" ht="18" customHeight="1" x14ac:dyDescent="0.25">
      <c r="A96" s="129"/>
      <c r="B96" s="129"/>
      <c r="C96" s="129"/>
      <c r="D96" s="129"/>
      <c r="E96" s="129"/>
      <c r="F96" s="129"/>
      <c r="G96" s="129"/>
      <c r="H96" s="129"/>
      <c r="I96" s="129"/>
      <c r="J96" s="129"/>
      <c r="K96" s="129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</row>
    <row r="97" spans="1:26" ht="18" customHeight="1" x14ac:dyDescent="0.25">
      <c r="A97" s="129"/>
      <c r="B97" s="129"/>
      <c r="C97" s="129"/>
      <c r="D97" s="129"/>
      <c r="E97" s="129"/>
      <c r="F97" s="129"/>
      <c r="G97" s="129"/>
      <c r="H97" s="129"/>
      <c r="I97" s="129"/>
      <c r="J97" s="129"/>
      <c r="K97" s="129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</row>
    <row r="98" spans="1:26" ht="18" customHeight="1" x14ac:dyDescent="0.25">
      <c r="A98" s="129"/>
      <c r="B98" s="129"/>
      <c r="C98" s="129"/>
      <c r="D98" s="129"/>
      <c r="E98" s="129"/>
      <c r="F98" s="129"/>
      <c r="G98" s="129"/>
      <c r="H98" s="129"/>
      <c r="I98" s="129"/>
      <c r="J98" s="129"/>
      <c r="K98" s="129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</row>
    <row r="99" spans="1:26" ht="18" customHeight="1" x14ac:dyDescent="0.25">
      <c r="A99" s="129"/>
      <c r="B99" s="129"/>
      <c r="C99" s="129"/>
      <c r="D99" s="129"/>
      <c r="E99" s="129"/>
      <c r="F99" s="129"/>
      <c r="G99" s="129"/>
      <c r="H99" s="129"/>
      <c r="I99" s="129"/>
      <c r="J99" s="129"/>
      <c r="K99" s="129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</row>
    <row r="100" spans="1:26" ht="18" customHeight="1" x14ac:dyDescent="0.25">
      <c r="A100" s="129"/>
      <c r="B100" s="129"/>
      <c r="C100" s="129"/>
      <c r="D100" s="129"/>
      <c r="E100" s="129"/>
      <c r="F100" s="129"/>
      <c r="G100" s="129"/>
      <c r="H100" s="129"/>
      <c r="I100" s="129"/>
      <c r="J100" s="129"/>
      <c r="K100" s="129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</row>
    <row r="101" spans="1:26" ht="18" customHeight="1" x14ac:dyDescent="0.25">
      <c r="A101" s="129"/>
      <c r="B101" s="129"/>
      <c r="C101" s="129"/>
      <c r="D101" s="129"/>
      <c r="E101" s="129"/>
      <c r="F101" s="129"/>
      <c r="G101" s="129"/>
      <c r="H101" s="129"/>
      <c r="I101" s="129"/>
      <c r="J101" s="129"/>
      <c r="K101" s="129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</row>
    <row r="102" spans="1:26" ht="18" customHeight="1" x14ac:dyDescent="0.25">
      <c r="A102" s="129"/>
      <c r="B102" s="129"/>
      <c r="C102" s="129"/>
      <c r="D102" s="129"/>
      <c r="E102" s="129"/>
      <c r="F102" s="129"/>
      <c r="G102" s="129"/>
      <c r="H102" s="129"/>
      <c r="I102" s="129"/>
      <c r="J102" s="129"/>
      <c r="K102" s="129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</row>
    <row r="103" spans="1:26" ht="18" customHeight="1" x14ac:dyDescent="0.25">
      <c r="A103" s="129"/>
      <c r="B103" s="129"/>
      <c r="C103" s="129"/>
      <c r="D103" s="129"/>
      <c r="E103" s="129"/>
      <c r="F103" s="129"/>
      <c r="G103" s="129"/>
      <c r="H103" s="129"/>
      <c r="I103" s="129"/>
      <c r="J103" s="129"/>
      <c r="K103" s="129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</row>
    <row r="104" spans="1:26" ht="18" customHeight="1" x14ac:dyDescent="0.25">
      <c r="A104" s="129"/>
      <c r="B104" s="129"/>
      <c r="C104" s="129"/>
      <c r="D104" s="129"/>
      <c r="E104" s="129"/>
      <c r="F104" s="129"/>
      <c r="G104" s="129"/>
      <c r="H104" s="129"/>
      <c r="I104" s="129"/>
      <c r="J104" s="129"/>
      <c r="K104" s="129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</row>
    <row r="105" spans="1:26" ht="18" customHeight="1" x14ac:dyDescent="0.25">
      <c r="A105" s="129"/>
      <c r="B105" s="129"/>
      <c r="C105" s="129"/>
      <c r="D105" s="129"/>
      <c r="E105" s="129"/>
      <c r="F105" s="129"/>
      <c r="G105" s="129"/>
      <c r="H105" s="129"/>
      <c r="I105" s="129"/>
      <c r="J105" s="129"/>
      <c r="K105" s="129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</row>
    <row r="106" spans="1:26" ht="18" customHeight="1" x14ac:dyDescent="0.25">
      <c r="A106" s="129"/>
      <c r="B106" s="129"/>
      <c r="C106" s="129"/>
      <c r="D106" s="129"/>
      <c r="E106" s="129"/>
      <c r="F106" s="129"/>
      <c r="G106" s="129"/>
      <c r="H106" s="129"/>
      <c r="I106" s="129"/>
      <c r="J106" s="129"/>
      <c r="K106" s="129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</row>
    <row r="107" spans="1:26" ht="18" customHeight="1" x14ac:dyDescent="0.25">
      <c r="A107" s="129"/>
      <c r="B107" s="129"/>
      <c r="C107" s="129"/>
      <c r="D107" s="129"/>
      <c r="E107" s="129"/>
      <c r="F107" s="129"/>
      <c r="G107" s="129"/>
      <c r="H107" s="129"/>
      <c r="I107" s="129"/>
      <c r="J107" s="129"/>
      <c r="K107" s="129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</row>
    <row r="108" spans="1:26" ht="18" customHeight="1" x14ac:dyDescent="0.25">
      <c r="A108" s="129"/>
      <c r="B108" s="129"/>
      <c r="C108" s="129"/>
      <c r="D108" s="129"/>
      <c r="E108" s="129"/>
      <c r="F108" s="129"/>
      <c r="G108" s="129"/>
      <c r="H108" s="129"/>
      <c r="I108" s="129"/>
      <c r="J108" s="129"/>
      <c r="K108" s="129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</row>
    <row r="109" spans="1:26" ht="18" customHeight="1" x14ac:dyDescent="0.25">
      <c r="A109" s="129"/>
      <c r="B109" s="129"/>
      <c r="C109" s="129"/>
      <c r="D109" s="129"/>
      <c r="E109" s="129"/>
      <c r="F109" s="129"/>
      <c r="G109" s="129"/>
      <c r="H109" s="129"/>
      <c r="I109" s="129"/>
      <c r="J109" s="129"/>
      <c r="K109" s="129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</row>
    <row r="110" spans="1:26" ht="18" customHeight="1" x14ac:dyDescent="0.25">
      <c r="A110" s="129"/>
      <c r="B110" s="129"/>
      <c r="C110" s="129"/>
      <c r="D110" s="129"/>
      <c r="E110" s="129"/>
      <c r="F110" s="129"/>
      <c r="G110" s="129"/>
      <c r="H110" s="129"/>
      <c r="I110" s="129"/>
      <c r="J110" s="129"/>
      <c r="K110" s="129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</row>
    <row r="111" spans="1:26" ht="18" customHeight="1" x14ac:dyDescent="0.25">
      <c r="A111" s="129"/>
      <c r="B111" s="129"/>
      <c r="C111" s="129"/>
      <c r="D111" s="129"/>
      <c r="E111" s="129"/>
      <c r="F111" s="129"/>
      <c r="G111" s="129"/>
      <c r="H111" s="129"/>
      <c r="I111" s="129"/>
      <c r="J111" s="129"/>
      <c r="K111" s="129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</row>
    <row r="112" spans="1:26" ht="18" customHeight="1" x14ac:dyDescent="0.25">
      <c r="A112" s="129"/>
      <c r="B112" s="129"/>
      <c r="C112" s="129"/>
      <c r="D112" s="129"/>
      <c r="E112" s="129"/>
      <c r="F112" s="129"/>
      <c r="G112" s="129"/>
      <c r="H112" s="129"/>
      <c r="I112" s="129"/>
      <c r="J112" s="129"/>
      <c r="K112" s="129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</row>
    <row r="113" spans="1:26" ht="18" customHeight="1" x14ac:dyDescent="0.25">
      <c r="A113" s="129"/>
      <c r="B113" s="129"/>
      <c r="C113" s="129"/>
      <c r="D113" s="129"/>
      <c r="E113" s="129"/>
      <c r="F113" s="129"/>
      <c r="G113" s="129"/>
      <c r="H113" s="129"/>
      <c r="I113" s="129"/>
      <c r="J113" s="129"/>
      <c r="K113" s="129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</row>
    <row r="114" spans="1:26" ht="18" customHeight="1" x14ac:dyDescent="0.25">
      <c r="A114" s="129"/>
      <c r="B114" s="129"/>
      <c r="C114" s="129"/>
      <c r="D114" s="129"/>
      <c r="E114" s="129"/>
      <c r="F114" s="129"/>
      <c r="G114" s="129"/>
      <c r="H114" s="129"/>
      <c r="I114" s="129"/>
      <c r="J114" s="129"/>
      <c r="K114" s="129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</row>
    <row r="115" spans="1:26" ht="18" customHeight="1" x14ac:dyDescent="0.25">
      <c r="A115" s="129"/>
      <c r="B115" s="129"/>
      <c r="C115" s="129"/>
      <c r="D115" s="129"/>
      <c r="E115" s="129"/>
      <c r="F115" s="129"/>
      <c r="G115" s="129"/>
      <c r="H115" s="129"/>
      <c r="I115" s="129"/>
      <c r="J115" s="129"/>
      <c r="K115" s="129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</row>
    <row r="116" spans="1:26" ht="18" customHeight="1" x14ac:dyDescent="0.25">
      <c r="A116" s="129"/>
      <c r="B116" s="129"/>
      <c r="C116" s="129"/>
      <c r="D116" s="129"/>
      <c r="E116" s="129"/>
      <c r="F116" s="129"/>
      <c r="G116" s="129"/>
      <c r="H116" s="129"/>
      <c r="I116" s="129"/>
      <c r="J116" s="129"/>
      <c r="K116" s="129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</row>
    <row r="117" spans="1:26" ht="18" customHeight="1" x14ac:dyDescent="0.25">
      <c r="A117" s="129"/>
      <c r="B117" s="129"/>
      <c r="C117" s="129"/>
      <c r="D117" s="129"/>
      <c r="E117" s="129"/>
      <c r="F117" s="129"/>
      <c r="G117" s="129"/>
      <c r="H117" s="129"/>
      <c r="I117" s="129"/>
      <c r="J117" s="129"/>
      <c r="K117" s="129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</row>
    <row r="118" spans="1:26" ht="18" customHeight="1" x14ac:dyDescent="0.25">
      <c r="A118" s="129"/>
      <c r="B118" s="129"/>
      <c r="C118" s="129"/>
      <c r="D118" s="129"/>
      <c r="E118" s="129"/>
      <c r="F118" s="129"/>
      <c r="G118" s="129"/>
      <c r="H118" s="129"/>
      <c r="I118" s="129"/>
      <c r="J118" s="129"/>
      <c r="K118" s="129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</row>
    <row r="119" spans="1:26" ht="18" customHeight="1" x14ac:dyDescent="0.25">
      <c r="A119" s="129"/>
      <c r="B119" s="129"/>
      <c r="C119" s="129"/>
      <c r="D119" s="129"/>
      <c r="E119" s="129"/>
      <c r="F119" s="129"/>
      <c r="G119" s="129"/>
      <c r="H119" s="129"/>
      <c r="I119" s="129"/>
      <c r="J119" s="129"/>
      <c r="K119" s="129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</row>
    <row r="120" spans="1:26" ht="18" customHeight="1" x14ac:dyDescent="0.25">
      <c r="A120" s="129"/>
      <c r="B120" s="129"/>
      <c r="C120" s="129"/>
      <c r="D120" s="129"/>
      <c r="E120" s="129"/>
      <c r="F120" s="129"/>
      <c r="G120" s="129"/>
      <c r="H120" s="129"/>
      <c r="I120" s="129"/>
      <c r="J120" s="129"/>
      <c r="K120" s="129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</row>
  </sheetData>
  <phoneticPr fontId="18" type="noConversion"/>
  <conditionalFormatting sqref="F7:F66">
    <cfRule type="expression" dxfId="26" priority="3">
      <formula>B7&lt;&gt;""</formula>
    </cfRule>
  </conditionalFormatting>
  <conditionalFormatting sqref="G8:G66">
    <cfRule type="expression" dxfId="25" priority="2">
      <formula>AND(B8&lt;&gt;"",G8="")</formula>
    </cfRule>
  </conditionalFormatting>
  <conditionalFormatting sqref="F5">
    <cfRule type="containsBlanks" dxfId="24" priority="1">
      <formula>LEN(TRIM(F5))=0</formula>
    </cfRule>
  </conditionalFormatting>
  <pageMargins left="0.7" right="0.7" top="0.2" bottom="0.2" header="0.3" footer="0.3"/>
  <pageSetup paperSize="8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EA629-C54B-4410-B8DF-A23911640067}">
  <sheetPr codeName="Sheet12">
    <pageSetUpPr fitToPage="1"/>
  </sheetPr>
  <dimension ref="A1:Z120"/>
  <sheetViews>
    <sheetView zoomScaleNormal="100" workbookViewId="0">
      <selection activeCell="C42" sqref="C42"/>
    </sheetView>
  </sheetViews>
  <sheetFormatPr defaultColWidth="8.85546875" defaultRowHeight="15" x14ac:dyDescent="0.25"/>
  <cols>
    <col min="1" max="1" width="22.140625" customWidth="1"/>
    <col min="2" max="2" width="33.42578125" customWidth="1"/>
    <col min="3" max="3" width="20" customWidth="1"/>
    <col min="4" max="4" width="11.5703125" customWidth="1"/>
    <col min="5" max="5" width="0.85546875" customWidth="1"/>
    <col min="6" max="6" width="25.5703125" bestFit="1" customWidth="1"/>
    <col min="7" max="7" width="33.42578125" customWidth="1"/>
    <col min="8" max="8" width="20.28515625" customWidth="1"/>
    <col min="9" max="9" width="11.5703125" customWidth="1"/>
    <col min="10" max="10" width="13.42578125" bestFit="1" customWidth="1"/>
    <col min="11" max="11" width="9.5703125" bestFit="1" customWidth="1"/>
  </cols>
  <sheetData>
    <row r="1" spans="1:26" ht="6" customHeight="1" x14ac:dyDescent="0.25">
      <c r="A1" s="88"/>
      <c r="B1" s="114"/>
      <c r="C1" s="115"/>
      <c r="D1" s="115"/>
      <c r="E1" s="115"/>
      <c r="F1" s="115"/>
      <c r="G1" s="115"/>
      <c r="H1" s="115"/>
      <c r="I1" s="118"/>
      <c r="J1" s="86"/>
      <c r="K1" s="86"/>
      <c r="L1" s="86"/>
      <c r="M1" s="84"/>
    </row>
    <row r="2" spans="1:26" ht="42.75" customHeight="1" x14ac:dyDescent="0.25">
      <c r="A2" s="89"/>
      <c r="B2" s="76"/>
      <c r="C2" s="76"/>
      <c r="D2" s="76"/>
      <c r="E2" s="76"/>
      <c r="F2" s="113" t="s">
        <v>364</v>
      </c>
      <c r="G2" s="78"/>
      <c r="H2" s="76"/>
      <c r="I2" s="119"/>
      <c r="J2" s="86"/>
      <c r="K2" s="86"/>
      <c r="L2" s="86"/>
      <c r="M2" s="84"/>
    </row>
    <row r="3" spans="1:26" ht="20.25" hidden="1" customHeight="1" x14ac:dyDescent="0.25">
      <c r="A3" s="76"/>
      <c r="B3" s="76"/>
      <c r="C3" s="76"/>
      <c r="D3" s="76"/>
      <c r="E3" s="76"/>
      <c r="F3" s="76"/>
      <c r="G3" s="76"/>
      <c r="H3" s="76"/>
      <c r="I3" s="119"/>
      <c r="J3" s="86"/>
      <c r="K3" s="86"/>
      <c r="L3" s="86"/>
      <c r="M3" s="84"/>
    </row>
    <row r="4" spans="1:26" ht="15" hidden="1" customHeight="1" x14ac:dyDescent="0.25">
      <c r="A4" s="75"/>
      <c r="B4" s="76"/>
      <c r="C4" s="76"/>
      <c r="D4" s="76"/>
      <c r="E4" s="76"/>
      <c r="F4" s="76"/>
      <c r="G4" s="76"/>
      <c r="H4" s="76"/>
      <c r="I4" s="119"/>
      <c r="J4" s="86"/>
      <c r="K4" s="86"/>
      <c r="L4" s="86"/>
      <c r="M4" s="84"/>
    </row>
    <row r="5" spans="1:26" ht="30" customHeight="1" x14ac:dyDescent="0.25">
      <c r="A5" s="117">
        <v>46240</v>
      </c>
      <c r="B5" s="116" t="s">
        <v>559</v>
      </c>
      <c r="C5" s="81"/>
      <c r="D5" s="79"/>
      <c r="E5" s="106"/>
      <c r="F5" s="109">
        <v>46240</v>
      </c>
      <c r="G5" s="122">
        <v>46148</v>
      </c>
      <c r="H5" s="79"/>
      <c r="I5" s="120"/>
      <c r="J5" s="85"/>
      <c r="K5" s="85"/>
      <c r="L5" s="87"/>
      <c r="M5" s="84"/>
    </row>
    <row r="6" spans="1:26" ht="15" hidden="1" customHeight="1" x14ac:dyDescent="0.25">
      <c r="A6" s="93"/>
      <c r="B6" s="94"/>
      <c r="C6" s="77"/>
      <c r="D6" s="52"/>
      <c r="E6" s="112"/>
      <c r="F6" s="52"/>
      <c r="G6" s="52"/>
      <c r="H6" s="52"/>
      <c r="I6" s="121"/>
      <c r="J6" s="85"/>
      <c r="K6" s="85"/>
      <c r="L6" s="85"/>
      <c r="M6" s="84"/>
    </row>
    <row r="7" spans="1:26" x14ac:dyDescent="0.25">
      <c r="A7" s="95" t="s">
        <v>361</v>
      </c>
      <c r="B7" s="95" t="s">
        <v>183</v>
      </c>
      <c r="C7" s="95" t="s">
        <v>362</v>
      </c>
      <c r="D7" s="110" t="s">
        <v>363</v>
      </c>
      <c r="E7" s="111"/>
      <c r="F7" s="97" t="s">
        <v>361</v>
      </c>
      <c r="G7" s="95" t="s">
        <v>183</v>
      </c>
      <c r="H7" s="95" t="s">
        <v>362</v>
      </c>
      <c r="I7" s="96" t="s">
        <v>363</v>
      </c>
      <c r="J7" s="83"/>
      <c r="K7" s="83"/>
      <c r="L7" s="83"/>
      <c r="M7" s="83"/>
    </row>
    <row r="8" spans="1:26" x14ac:dyDescent="0.25">
      <c r="A8" s="91" t="s">
        <v>356</v>
      </c>
      <c r="B8" s="91" t="s">
        <v>254</v>
      </c>
      <c r="C8" s="91"/>
      <c r="D8" s="91" t="s">
        <v>72</v>
      </c>
      <c r="E8" s="85"/>
      <c r="F8" s="91" t="s">
        <v>356</v>
      </c>
      <c r="G8" s="91" t="s">
        <v>326</v>
      </c>
      <c r="H8" s="91"/>
      <c r="I8" s="91" t="s">
        <v>73</v>
      </c>
      <c r="J8" s="85"/>
      <c r="K8" s="85"/>
      <c r="L8" s="84"/>
      <c r="M8" s="84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26" x14ac:dyDescent="0.25">
      <c r="A9" s="92" t="s">
        <v>357</v>
      </c>
      <c r="B9" s="92" t="s">
        <v>214</v>
      </c>
      <c r="C9" s="92"/>
      <c r="D9" s="92" t="s">
        <v>72</v>
      </c>
      <c r="E9" s="85"/>
      <c r="F9" s="92" t="s">
        <v>357</v>
      </c>
      <c r="G9" s="92" t="s">
        <v>334</v>
      </c>
      <c r="H9" s="92"/>
      <c r="I9" s="92" t="s">
        <v>73</v>
      </c>
      <c r="J9" s="85"/>
      <c r="K9" s="85"/>
      <c r="L9" s="84"/>
      <c r="M9" s="84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1:26" x14ac:dyDescent="0.25">
      <c r="A10" s="91" t="s">
        <v>358</v>
      </c>
      <c r="B10" s="91" t="s">
        <v>394</v>
      </c>
      <c r="C10" s="91"/>
      <c r="D10" s="91" t="s">
        <v>72</v>
      </c>
      <c r="E10" s="85"/>
      <c r="F10" s="91" t="s">
        <v>358</v>
      </c>
      <c r="G10" s="91" t="s">
        <v>275</v>
      </c>
      <c r="H10" s="91"/>
      <c r="I10" s="91" t="s">
        <v>73</v>
      </c>
      <c r="J10" s="85"/>
      <c r="K10" s="85"/>
      <c r="L10" s="84"/>
      <c r="M10" s="84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1:26" x14ac:dyDescent="0.25">
      <c r="A11" s="92" t="s">
        <v>358</v>
      </c>
      <c r="B11" s="92" t="s">
        <v>217</v>
      </c>
      <c r="C11" s="92"/>
      <c r="D11" s="92" t="s">
        <v>72</v>
      </c>
      <c r="E11" s="85"/>
      <c r="F11" s="92" t="s">
        <v>358</v>
      </c>
      <c r="G11" s="92" t="s">
        <v>570</v>
      </c>
      <c r="H11" s="92"/>
      <c r="I11" s="92" t="s">
        <v>73</v>
      </c>
      <c r="J11" s="85"/>
      <c r="K11" s="85"/>
      <c r="L11" s="84"/>
      <c r="M11" s="84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1:26" x14ac:dyDescent="0.25">
      <c r="A12" s="91" t="s">
        <v>358</v>
      </c>
      <c r="B12" s="91" t="s">
        <v>441</v>
      </c>
      <c r="C12" s="91" t="s">
        <v>366</v>
      </c>
      <c r="D12" s="91" t="s">
        <v>72</v>
      </c>
      <c r="E12" s="85"/>
      <c r="F12" s="91" t="s">
        <v>358</v>
      </c>
      <c r="G12" s="91" t="s">
        <v>433</v>
      </c>
      <c r="H12" s="91"/>
      <c r="I12" s="91" t="s">
        <v>73</v>
      </c>
      <c r="J12" s="85"/>
      <c r="K12" s="85"/>
      <c r="L12" s="84"/>
      <c r="M12" s="84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</row>
    <row r="13" spans="1:26" x14ac:dyDescent="0.25">
      <c r="A13" s="92" t="s">
        <v>358</v>
      </c>
      <c r="B13" s="92" t="s">
        <v>305</v>
      </c>
      <c r="C13" s="92"/>
      <c r="D13" s="92" t="s">
        <v>72</v>
      </c>
      <c r="E13" s="85"/>
      <c r="F13" s="92" t="s">
        <v>358</v>
      </c>
      <c r="G13" s="92" t="s">
        <v>434</v>
      </c>
      <c r="H13" s="92"/>
      <c r="I13" s="92" t="s">
        <v>73</v>
      </c>
      <c r="J13" s="85"/>
      <c r="K13" s="85"/>
      <c r="L13" s="84"/>
      <c r="M13" s="84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1:26" x14ac:dyDescent="0.25">
      <c r="A14" s="91" t="s">
        <v>358</v>
      </c>
      <c r="B14" s="91" t="s">
        <v>316</v>
      </c>
      <c r="C14" s="91"/>
      <c r="D14" s="91" t="s">
        <v>232</v>
      </c>
      <c r="E14" s="85"/>
      <c r="F14" s="91" t="s">
        <v>358</v>
      </c>
      <c r="G14" s="91" t="s">
        <v>591</v>
      </c>
      <c r="H14" s="91"/>
      <c r="I14" s="91" t="s">
        <v>73</v>
      </c>
      <c r="J14" s="85"/>
      <c r="K14" s="85"/>
      <c r="L14" s="84"/>
      <c r="M14" s="84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1:26" x14ac:dyDescent="0.25">
      <c r="A15" s="92" t="s">
        <v>358</v>
      </c>
      <c r="B15" s="92" t="s">
        <v>446</v>
      </c>
      <c r="C15" s="92"/>
      <c r="D15" s="92" t="s">
        <v>72</v>
      </c>
      <c r="E15" s="85"/>
      <c r="F15" s="92" t="s">
        <v>358</v>
      </c>
      <c r="G15" s="92" t="s">
        <v>291</v>
      </c>
      <c r="H15" s="92" t="s">
        <v>365</v>
      </c>
      <c r="I15" s="92" t="s">
        <v>73</v>
      </c>
      <c r="J15" s="85"/>
      <c r="K15" s="85"/>
      <c r="L15" s="84"/>
      <c r="M15" s="84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1:26" x14ac:dyDescent="0.25">
      <c r="A16" s="91" t="s">
        <v>358</v>
      </c>
      <c r="B16" s="91" t="s">
        <v>258</v>
      </c>
      <c r="C16" s="91" t="s">
        <v>365</v>
      </c>
      <c r="D16" s="91" t="s">
        <v>72</v>
      </c>
      <c r="E16" s="85"/>
      <c r="F16" s="91" t="s">
        <v>358</v>
      </c>
      <c r="G16" s="91" t="s">
        <v>248</v>
      </c>
      <c r="H16" s="91"/>
      <c r="I16" s="91" t="s">
        <v>73</v>
      </c>
      <c r="J16" s="85"/>
      <c r="K16" s="85"/>
      <c r="L16" s="84"/>
      <c r="M16" s="84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1:26" x14ac:dyDescent="0.25">
      <c r="A17" s="92" t="s">
        <v>358</v>
      </c>
      <c r="B17" s="92" t="s">
        <v>328</v>
      </c>
      <c r="C17" s="92"/>
      <c r="D17" s="92" t="s">
        <v>72</v>
      </c>
      <c r="E17" s="85"/>
      <c r="F17" s="92" t="s">
        <v>358</v>
      </c>
      <c r="G17" s="92" t="s">
        <v>615</v>
      </c>
      <c r="H17" s="92"/>
      <c r="I17" s="92" t="s">
        <v>73</v>
      </c>
      <c r="J17" s="85"/>
      <c r="K17" s="85"/>
      <c r="L17" s="84"/>
      <c r="M17" s="84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1:26" x14ac:dyDescent="0.25">
      <c r="A18" s="91" t="s">
        <v>358</v>
      </c>
      <c r="B18" s="91" t="s">
        <v>329</v>
      </c>
      <c r="C18" s="91"/>
      <c r="D18" s="91" t="s">
        <v>355</v>
      </c>
      <c r="E18" s="85"/>
      <c r="F18" s="91" t="s">
        <v>358</v>
      </c>
      <c r="G18" s="91" t="s">
        <v>619</v>
      </c>
      <c r="H18" s="91" t="s">
        <v>366</v>
      </c>
      <c r="I18" s="91" t="s">
        <v>73</v>
      </c>
      <c r="J18" s="85"/>
      <c r="K18" s="85"/>
      <c r="L18" s="84"/>
      <c r="M18" s="84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1:26" x14ac:dyDescent="0.25">
      <c r="A19" s="92" t="s">
        <v>358</v>
      </c>
      <c r="B19" s="92" t="s">
        <v>335</v>
      </c>
      <c r="C19" s="92"/>
      <c r="D19" s="92" t="s">
        <v>72</v>
      </c>
      <c r="E19" s="85"/>
      <c r="F19" s="92" t="s">
        <v>359</v>
      </c>
      <c r="G19" s="92" t="s">
        <v>196</v>
      </c>
      <c r="H19" s="92"/>
      <c r="I19" s="92" t="s">
        <v>73</v>
      </c>
      <c r="J19" s="85"/>
      <c r="K19" s="85"/>
      <c r="L19" s="84"/>
      <c r="M19" s="84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1:26" x14ac:dyDescent="0.25">
      <c r="A20" s="91" t="s">
        <v>359</v>
      </c>
      <c r="B20" s="91" t="s">
        <v>277</v>
      </c>
      <c r="C20" s="91"/>
      <c r="D20" s="91" t="s">
        <v>72</v>
      </c>
      <c r="E20" s="85"/>
      <c r="F20" s="91" t="s">
        <v>359</v>
      </c>
      <c r="G20" s="91" t="s">
        <v>437</v>
      </c>
      <c r="H20" s="91"/>
      <c r="I20" s="91" t="s">
        <v>73</v>
      </c>
      <c r="J20" s="85"/>
      <c r="K20" s="85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1:26" x14ac:dyDescent="0.25">
      <c r="A21" s="92" t="s">
        <v>359</v>
      </c>
      <c r="B21" s="92" t="s">
        <v>432</v>
      </c>
      <c r="C21" s="92"/>
      <c r="D21" s="92" t="s">
        <v>72</v>
      </c>
      <c r="E21" s="85"/>
      <c r="F21" s="92" t="s">
        <v>359</v>
      </c>
      <c r="G21" s="92" t="s">
        <v>340</v>
      </c>
      <c r="H21" s="92"/>
      <c r="I21" s="92" t="s">
        <v>73</v>
      </c>
      <c r="J21" s="85"/>
      <c r="K21" s="85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1:26" x14ac:dyDescent="0.25">
      <c r="A22" s="91" t="s">
        <v>359</v>
      </c>
      <c r="B22" s="91" t="s">
        <v>661</v>
      </c>
      <c r="C22" s="91"/>
      <c r="D22" s="91" t="s">
        <v>72</v>
      </c>
      <c r="E22" s="85"/>
      <c r="F22" s="91" t="s">
        <v>359</v>
      </c>
      <c r="G22" s="91" t="s">
        <v>282</v>
      </c>
      <c r="H22" s="91"/>
      <c r="I22" s="91" t="s">
        <v>73</v>
      </c>
      <c r="J22" s="85"/>
      <c r="K22" s="85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1:26" x14ac:dyDescent="0.25">
      <c r="A23" s="92" t="s">
        <v>359</v>
      </c>
      <c r="B23" s="92" t="s">
        <v>281</v>
      </c>
      <c r="C23" s="92"/>
      <c r="D23" s="92" t="s">
        <v>355</v>
      </c>
      <c r="E23" s="85"/>
      <c r="F23" s="92" t="s">
        <v>359</v>
      </c>
      <c r="G23" s="92" t="s">
        <v>212</v>
      </c>
      <c r="H23" s="92" t="s">
        <v>367</v>
      </c>
      <c r="I23" s="92" t="s">
        <v>73</v>
      </c>
      <c r="J23" s="85"/>
      <c r="K23" s="85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1:26" x14ac:dyDescent="0.25">
      <c r="A24" s="91" t="s">
        <v>359</v>
      </c>
      <c r="B24" s="91" t="s">
        <v>580</v>
      </c>
      <c r="C24" s="91"/>
      <c r="D24" s="91" t="s">
        <v>72</v>
      </c>
      <c r="E24" s="85"/>
      <c r="F24" s="91" t="s">
        <v>359</v>
      </c>
      <c r="G24" s="91" t="s">
        <v>582</v>
      </c>
      <c r="H24" s="91" t="s">
        <v>367</v>
      </c>
      <c r="I24" s="91" t="s">
        <v>73</v>
      </c>
      <c r="J24" s="85"/>
      <c r="K24" s="85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1:26" x14ac:dyDescent="0.25">
      <c r="A25" s="92" t="s">
        <v>359</v>
      </c>
      <c r="B25" s="92" t="s">
        <v>218</v>
      </c>
      <c r="C25" s="92"/>
      <c r="D25" s="92" t="s">
        <v>355</v>
      </c>
      <c r="E25" s="85"/>
      <c r="F25" s="92" t="s">
        <v>359</v>
      </c>
      <c r="G25" s="92" t="s">
        <v>223</v>
      </c>
      <c r="H25" s="92"/>
      <c r="I25" s="92" t="s">
        <v>73</v>
      </c>
      <c r="J25" s="85"/>
      <c r="K25" s="85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1:26" x14ac:dyDescent="0.25">
      <c r="A26" s="91" t="s">
        <v>359</v>
      </c>
      <c r="B26" s="91" t="s">
        <v>586</v>
      </c>
      <c r="C26" s="91"/>
      <c r="D26" s="91" t="s">
        <v>72</v>
      </c>
      <c r="E26" s="85"/>
      <c r="F26" s="91" t="s">
        <v>359</v>
      </c>
      <c r="G26" s="91" t="s">
        <v>289</v>
      </c>
      <c r="H26" s="91" t="s">
        <v>367</v>
      </c>
      <c r="I26" s="91" t="s">
        <v>73</v>
      </c>
      <c r="J26" s="85"/>
      <c r="K26" s="85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1:26" x14ac:dyDescent="0.25">
      <c r="A27" s="92" t="s">
        <v>359</v>
      </c>
      <c r="B27" s="92" t="s">
        <v>221</v>
      </c>
      <c r="C27" s="92"/>
      <c r="D27" s="92" t="s">
        <v>72</v>
      </c>
      <c r="E27" s="85"/>
      <c r="F27" s="92" t="s">
        <v>359</v>
      </c>
      <c r="G27" s="92" t="s">
        <v>675</v>
      </c>
      <c r="H27" s="92"/>
      <c r="I27" s="92" t="s">
        <v>73</v>
      </c>
      <c r="J27" s="85"/>
      <c r="K27" s="85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1:26" x14ac:dyDescent="0.25">
      <c r="A28" s="91" t="s">
        <v>359</v>
      </c>
      <c r="B28" s="91" t="s">
        <v>224</v>
      </c>
      <c r="C28" s="91" t="s">
        <v>367</v>
      </c>
      <c r="D28" s="91" t="s">
        <v>72</v>
      </c>
      <c r="E28" s="85"/>
      <c r="F28" s="91" t="s">
        <v>359</v>
      </c>
      <c r="G28" s="91" t="s">
        <v>227</v>
      </c>
      <c r="H28" s="91"/>
      <c r="I28" s="91" t="s">
        <v>73</v>
      </c>
      <c r="J28" s="85"/>
      <c r="K28" s="85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1:26" x14ac:dyDescent="0.25">
      <c r="A29" s="92" t="s">
        <v>359</v>
      </c>
      <c r="B29" s="92" t="s">
        <v>234</v>
      </c>
      <c r="C29" s="92"/>
      <c r="D29" s="92" t="s">
        <v>72</v>
      </c>
      <c r="E29" s="85"/>
      <c r="F29" s="92" t="s">
        <v>359</v>
      </c>
      <c r="G29" s="92" t="s">
        <v>264</v>
      </c>
      <c r="H29" s="92"/>
      <c r="I29" s="92" t="s">
        <v>73</v>
      </c>
      <c r="J29" s="85"/>
      <c r="K29" s="85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1:26" x14ac:dyDescent="0.25">
      <c r="A30" s="91" t="s">
        <v>359</v>
      </c>
      <c r="B30" s="91" t="s">
        <v>443</v>
      </c>
      <c r="C30" s="91"/>
      <c r="D30" s="91" t="s">
        <v>72</v>
      </c>
      <c r="E30" s="85"/>
      <c r="F30" s="91" t="s">
        <v>359</v>
      </c>
      <c r="G30" s="91" t="s">
        <v>397</v>
      </c>
      <c r="H30" s="91"/>
      <c r="I30" s="91" t="s">
        <v>73</v>
      </c>
      <c r="J30" s="85"/>
      <c r="K30" s="85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1:26" x14ac:dyDescent="0.25">
      <c r="A31" s="92" t="s">
        <v>359</v>
      </c>
      <c r="B31" s="92" t="s">
        <v>303</v>
      </c>
      <c r="C31" s="92" t="s">
        <v>367</v>
      </c>
      <c r="D31" s="92" t="s">
        <v>72</v>
      </c>
      <c r="E31" s="85"/>
      <c r="F31" s="92" t="s">
        <v>359</v>
      </c>
      <c r="G31" s="92" t="s">
        <v>265</v>
      </c>
      <c r="H31" s="92"/>
      <c r="I31" s="92" t="s">
        <v>73</v>
      </c>
      <c r="J31" s="85"/>
      <c r="K31" s="85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1:26" x14ac:dyDescent="0.25">
      <c r="A32" s="91" t="s">
        <v>359</v>
      </c>
      <c r="B32" s="91" t="s">
        <v>238</v>
      </c>
      <c r="C32" s="91" t="s">
        <v>367</v>
      </c>
      <c r="D32" s="91" t="s">
        <v>72</v>
      </c>
      <c r="E32" s="85"/>
      <c r="F32" s="91" t="s">
        <v>359</v>
      </c>
      <c r="G32" s="91" t="s">
        <v>251</v>
      </c>
      <c r="H32" s="91" t="s">
        <v>367</v>
      </c>
      <c r="I32" s="91" t="s">
        <v>73</v>
      </c>
      <c r="J32" s="85"/>
      <c r="K32" s="85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</row>
    <row r="33" spans="1:26" x14ac:dyDescent="0.25">
      <c r="A33" s="92" t="s">
        <v>359</v>
      </c>
      <c r="B33" s="92" t="s">
        <v>320</v>
      </c>
      <c r="C33" s="92"/>
      <c r="D33" s="92" t="s">
        <v>72</v>
      </c>
      <c r="E33" s="85"/>
      <c r="F33" s="92" t="s">
        <v>359</v>
      </c>
      <c r="G33" s="92" t="s">
        <v>327</v>
      </c>
      <c r="H33" s="92"/>
      <c r="I33" s="92" t="s">
        <v>73</v>
      </c>
      <c r="J33" s="85"/>
      <c r="K33" s="85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</row>
    <row r="34" spans="1:26" x14ac:dyDescent="0.25">
      <c r="A34" s="91" t="s">
        <v>359</v>
      </c>
      <c r="B34" s="91" t="s">
        <v>244</v>
      </c>
      <c r="C34" s="91"/>
      <c r="D34" s="91" t="s">
        <v>72</v>
      </c>
      <c r="E34" s="85"/>
      <c r="F34" s="91" t="s">
        <v>359</v>
      </c>
      <c r="G34" s="91" t="s">
        <v>330</v>
      </c>
      <c r="H34" s="91"/>
      <c r="I34" s="91" t="s">
        <v>73</v>
      </c>
      <c r="J34" s="85"/>
      <c r="K34" s="37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</row>
    <row r="35" spans="1:26" x14ac:dyDescent="0.25">
      <c r="A35" s="92" t="s">
        <v>359</v>
      </c>
      <c r="B35" s="92" t="s">
        <v>332</v>
      </c>
      <c r="C35" s="92" t="s">
        <v>367</v>
      </c>
      <c r="D35" s="92" t="s">
        <v>72</v>
      </c>
      <c r="E35" s="85"/>
      <c r="F35" s="92" t="s">
        <v>359</v>
      </c>
      <c r="G35" s="92" t="s">
        <v>451</v>
      </c>
      <c r="H35" s="92"/>
      <c r="I35" s="92" t="s">
        <v>73</v>
      </c>
      <c r="J35" s="85"/>
      <c r="K35" s="37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</row>
    <row r="36" spans="1:26" x14ac:dyDescent="0.25">
      <c r="A36" s="85"/>
      <c r="B36" s="85"/>
      <c r="C36" s="85"/>
      <c r="D36" s="85"/>
      <c r="E36" s="85"/>
      <c r="F36" s="85"/>
      <c r="G36" s="85"/>
      <c r="H36" s="85"/>
      <c r="I36" s="85"/>
      <c r="J36" s="85"/>
      <c r="K36" s="37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</row>
    <row r="37" spans="1:26" x14ac:dyDescent="0.25">
      <c r="A37" s="85"/>
      <c r="B37" s="85"/>
      <c r="C37" s="85"/>
      <c r="D37" s="85"/>
      <c r="E37" s="85"/>
      <c r="F37" s="85"/>
      <c r="G37" s="85"/>
      <c r="H37" s="85"/>
      <c r="I37" s="85"/>
      <c r="J37" s="85"/>
      <c r="K37" s="37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</row>
    <row r="38" spans="1:26" x14ac:dyDescent="0.25">
      <c r="A38" s="85"/>
      <c r="B38" s="85"/>
      <c r="C38" s="85"/>
      <c r="D38" s="85"/>
      <c r="E38" s="85"/>
      <c r="F38" s="85"/>
      <c r="G38" s="85"/>
      <c r="H38" s="85"/>
      <c r="I38" s="85"/>
      <c r="J38" s="85"/>
      <c r="K38" s="37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</row>
    <row r="39" spans="1:26" x14ac:dyDescent="0.25">
      <c r="A39" s="85"/>
      <c r="B39" s="85"/>
      <c r="C39" s="85"/>
      <c r="D39" s="85"/>
      <c r="E39" s="85"/>
      <c r="F39" s="85"/>
      <c r="G39" s="85"/>
      <c r="H39" s="85"/>
      <c r="I39" s="85"/>
      <c r="J39" s="85"/>
      <c r="K39" s="37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</row>
    <row r="40" spans="1:26" x14ac:dyDescent="0.25">
      <c r="A40" s="85"/>
      <c r="B40" s="85"/>
      <c r="C40" s="85"/>
      <c r="D40" s="85"/>
      <c r="E40" s="85"/>
      <c r="F40" s="85"/>
      <c r="G40" s="85"/>
      <c r="H40" s="85"/>
      <c r="I40" s="85"/>
      <c r="J40" s="85"/>
      <c r="K40" s="37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</row>
    <row r="41" spans="1:26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37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</row>
    <row r="42" spans="1:26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37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</row>
    <row r="43" spans="1:26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37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</row>
    <row r="44" spans="1:26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37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</row>
    <row r="45" spans="1:26" x14ac:dyDescent="0.25">
      <c r="A45" s="85"/>
      <c r="B45" s="85"/>
      <c r="C45" s="85"/>
      <c r="D45" s="85"/>
      <c r="E45" s="85"/>
      <c r="F45" s="85"/>
      <c r="G45" s="37"/>
      <c r="H45" s="37"/>
      <c r="I45" s="37"/>
      <c r="J45" s="37"/>
      <c r="K45" s="37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</row>
    <row r="46" spans="1:26" x14ac:dyDescent="0.25">
      <c r="A46" s="85"/>
      <c r="B46" s="85"/>
      <c r="C46" s="85"/>
      <c r="D46" s="85"/>
      <c r="E46" s="85"/>
      <c r="F46" s="85"/>
      <c r="G46" s="37"/>
      <c r="H46" s="37"/>
      <c r="I46" s="37"/>
      <c r="J46" s="37"/>
      <c r="K46" s="37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</row>
    <row r="47" spans="1:26" x14ac:dyDescent="0.25">
      <c r="A47" s="37"/>
      <c r="B47" s="37"/>
      <c r="C47" s="37"/>
      <c r="D47" s="37"/>
      <c r="E47" s="85"/>
      <c r="F47" s="85"/>
      <c r="G47" s="37"/>
      <c r="H47" s="37"/>
      <c r="I47" s="37"/>
      <c r="J47" s="37"/>
      <c r="K47" s="37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</row>
    <row r="48" spans="1:26" x14ac:dyDescent="0.25">
      <c r="A48" s="37"/>
      <c r="B48" s="37"/>
      <c r="C48" s="37"/>
      <c r="D48" s="37"/>
      <c r="E48" s="85"/>
      <c r="F48" s="85"/>
      <c r="G48" s="37"/>
      <c r="H48" s="37"/>
      <c r="I48" s="37"/>
      <c r="J48" s="37"/>
      <c r="K48" s="37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</row>
    <row r="49" spans="1:26" x14ac:dyDescent="0.25">
      <c r="A49" s="37"/>
      <c r="B49" s="37"/>
      <c r="C49" s="37"/>
      <c r="D49" s="37"/>
      <c r="E49" s="85"/>
      <c r="F49" s="85"/>
      <c r="G49" s="37"/>
      <c r="H49" s="37"/>
      <c r="I49" s="37"/>
      <c r="J49" s="37"/>
      <c r="K49" s="37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</row>
    <row r="50" spans="1:26" x14ac:dyDescent="0.25">
      <c r="A50" s="37"/>
      <c r="B50" s="37"/>
      <c r="C50" s="37"/>
      <c r="D50" s="37"/>
      <c r="E50" s="85"/>
      <c r="F50" s="85"/>
      <c r="G50" s="37"/>
      <c r="H50" s="37"/>
      <c r="I50" s="37"/>
      <c r="J50" s="37"/>
      <c r="K50" s="37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</row>
    <row r="51" spans="1:26" x14ac:dyDescent="0.25">
      <c r="A51" s="37"/>
      <c r="B51" s="37"/>
      <c r="C51" s="37"/>
      <c r="D51" s="37"/>
      <c r="E51" s="85"/>
      <c r="F51" s="85"/>
      <c r="G51" s="37"/>
      <c r="H51" s="37"/>
      <c r="I51" s="37"/>
      <c r="J51" s="37"/>
      <c r="K51" s="37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</row>
    <row r="52" spans="1:26" x14ac:dyDescent="0.25">
      <c r="A52" s="37"/>
      <c r="B52" s="37"/>
      <c r="C52" s="37"/>
      <c r="D52" s="37"/>
      <c r="E52" s="85"/>
      <c r="F52" s="85"/>
      <c r="G52" s="37"/>
      <c r="H52" s="37"/>
      <c r="I52" s="37"/>
      <c r="J52" s="37"/>
      <c r="K52" s="37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</row>
    <row r="53" spans="1:26" x14ac:dyDescent="0.25">
      <c r="A53" s="37"/>
      <c r="B53" s="37"/>
      <c r="C53" s="37"/>
      <c r="D53" s="37"/>
      <c r="E53" s="85"/>
      <c r="F53" s="85"/>
      <c r="G53" s="37"/>
      <c r="H53" s="37"/>
      <c r="I53" s="37"/>
      <c r="J53" s="37"/>
      <c r="K53" s="37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</row>
    <row r="54" spans="1:26" x14ac:dyDescent="0.25">
      <c r="A54" s="37"/>
      <c r="B54" s="37"/>
      <c r="C54" s="37"/>
      <c r="D54" s="37"/>
      <c r="E54" s="85"/>
      <c r="F54" s="85"/>
      <c r="G54" s="37"/>
      <c r="H54" s="37"/>
      <c r="I54" s="37"/>
      <c r="J54" s="37"/>
      <c r="K54" s="37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</row>
    <row r="55" spans="1:26" x14ac:dyDescent="0.25">
      <c r="A55" s="37"/>
      <c r="B55" s="37"/>
      <c r="C55" s="37"/>
      <c r="D55" s="37"/>
      <c r="E55" s="85"/>
      <c r="F55" s="85"/>
      <c r="G55" s="37"/>
      <c r="H55" s="37"/>
      <c r="I55" s="37"/>
      <c r="J55" s="37"/>
      <c r="K55" s="37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</row>
    <row r="56" spans="1:26" x14ac:dyDescent="0.25">
      <c r="A56" s="39"/>
      <c r="B56" s="39"/>
      <c r="C56" s="39"/>
      <c r="D56" s="39"/>
      <c r="E56" s="85"/>
      <c r="F56" s="90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</row>
    <row r="57" spans="1:26" x14ac:dyDescent="0.25">
      <c r="A57" s="39"/>
      <c r="B57" s="39"/>
      <c r="C57" s="39"/>
      <c r="D57" s="39"/>
      <c r="E57" s="85"/>
      <c r="F57" s="90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</row>
    <row r="58" spans="1:26" x14ac:dyDescent="0.25">
      <c r="A58" s="39"/>
      <c r="B58" s="39"/>
      <c r="C58" s="39"/>
      <c r="D58" s="39"/>
      <c r="E58" s="85"/>
      <c r="F58" s="90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</row>
    <row r="59" spans="1:26" x14ac:dyDescent="0.25">
      <c r="A59" s="39"/>
      <c r="B59" s="39"/>
      <c r="C59" s="39"/>
      <c r="D59" s="39"/>
      <c r="E59" s="85"/>
      <c r="F59" s="90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</row>
    <row r="60" spans="1:26" x14ac:dyDescent="0.25">
      <c r="A60" s="39"/>
      <c r="B60" s="39"/>
      <c r="C60" s="39"/>
      <c r="D60" s="39"/>
      <c r="E60" s="85"/>
      <c r="F60" s="90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</row>
    <row r="61" spans="1:26" x14ac:dyDescent="0.25">
      <c r="A61" s="39"/>
      <c r="B61" s="39"/>
      <c r="C61" s="39"/>
      <c r="D61" s="39"/>
      <c r="E61" s="85"/>
      <c r="F61" s="90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</row>
    <row r="62" spans="1:26" x14ac:dyDescent="0.25">
      <c r="A62" s="39"/>
      <c r="B62" s="39"/>
      <c r="C62" s="39"/>
      <c r="D62" s="39"/>
      <c r="E62" s="85"/>
      <c r="F62" s="90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</row>
    <row r="63" spans="1:26" x14ac:dyDescent="0.25">
      <c r="A63" s="39"/>
      <c r="B63" s="39"/>
      <c r="C63" s="39"/>
      <c r="D63" s="39"/>
      <c r="E63" s="85"/>
      <c r="F63" s="90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</row>
    <row r="64" spans="1:26" x14ac:dyDescent="0.25">
      <c r="A64" s="39"/>
      <c r="B64" s="39"/>
      <c r="C64" s="39"/>
      <c r="D64" s="39"/>
      <c r="E64" s="85"/>
      <c r="F64" s="90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</row>
    <row r="65" spans="1:26" x14ac:dyDescent="0.25">
      <c r="A65" s="39"/>
      <c r="B65" s="39"/>
      <c r="C65" s="39"/>
      <c r="D65" s="39"/>
      <c r="E65" s="85"/>
      <c r="F65" s="90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</row>
    <row r="66" spans="1:26" x14ac:dyDescent="0.25">
      <c r="A66" s="39"/>
      <c r="B66" s="39"/>
      <c r="C66" s="39"/>
      <c r="D66" s="39"/>
      <c r="E66" s="85"/>
      <c r="F66" s="90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</row>
    <row r="67" spans="1:26" x14ac:dyDescent="0.25">
      <c r="A67" s="39"/>
      <c r="B67" s="39"/>
      <c r="C67" s="39"/>
      <c r="D67" s="39"/>
      <c r="E67" s="85"/>
      <c r="F67" s="90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</row>
    <row r="68" spans="1:26" x14ac:dyDescent="0.25">
      <c r="A68" s="39"/>
      <c r="B68" s="39"/>
      <c r="C68" s="39"/>
      <c r="D68" s="39"/>
      <c r="E68" s="85"/>
      <c r="F68" s="90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</row>
    <row r="69" spans="1:26" x14ac:dyDescent="0.25">
      <c r="A69" s="39"/>
      <c r="B69" s="39"/>
      <c r="C69" s="39"/>
      <c r="D69" s="39"/>
      <c r="E69" s="85"/>
      <c r="F69" s="90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</row>
    <row r="70" spans="1:26" x14ac:dyDescent="0.25">
      <c r="A70" s="39"/>
      <c r="B70" s="39"/>
      <c r="C70" s="39"/>
      <c r="D70" s="39"/>
      <c r="E70" s="85"/>
      <c r="F70" s="90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</row>
    <row r="71" spans="1:26" x14ac:dyDescent="0.25">
      <c r="A71" s="39"/>
      <c r="B71" s="39"/>
      <c r="C71" s="39"/>
      <c r="D71" s="39"/>
      <c r="E71" s="85"/>
      <c r="F71" s="90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26" x14ac:dyDescent="0.25">
      <c r="A72" s="39"/>
      <c r="B72" s="39"/>
      <c r="C72" s="39"/>
      <c r="D72" s="39"/>
      <c r="E72" s="85"/>
      <c r="F72" s="90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spans="1:26" x14ac:dyDescent="0.25">
      <c r="A73" s="39"/>
      <c r="B73" s="39"/>
      <c r="C73" s="39"/>
      <c r="D73" s="39"/>
      <c r="E73" s="85"/>
      <c r="F73" s="90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</row>
    <row r="74" spans="1:26" x14ac:dyDescent="0.25">
      <c r="A74" s="39"/>
      <c r="B74" s="39"/>
      <c r="C74" s="39"/>
      <c r="D74" s="39"/>
      <c r="E74" s="85"/>
      <c r="F74" s="90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</row>
    <row r="75" spans="1:26" x14ac:dyDescent="0.25">
      <c r="A75" s="39"/>
      <c r="B75" s="39"/>
      <c r="C75" s="39"/>
      <c r="D75" s="39"/>
      <c r="E75" s="85"/>
      <c r="F75" s="90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</row>
    <row r="76" spans="1:26" x14ac:dyDescent="0.25">
      <c r="A76" s="39"/>
      <c r="B76" s="39"/>
      <c r="C76" s="39"/>
      <c r="D76" s="39"/>
      <c r="E76" s="85"/>
      <c r="F76" s="90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</row>
    <row r="77" spans="1:26" x14ac:dyDescent="0.25">
      <c r="A77" s="39"/>
      <c r="B77" s="39"/>
      <c r="C77" s="39"/>
      <c r="D77" s="39"/>
      <c r="E77" s="85"/>
      <c r="F77" s="90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</row>
    <row r="78" spans="1:26" x14ac:dyDescent="0.25">
      <c r="A78" s="39"/>
      <c r="B78" s="39"/>
      <c r="C78" s="39"/>
      <c r="D78" s="39"/>
      <c r="E78" s="85"/>
      <c r="F78" s="90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</row>
    <row r="79" spans="1:26" x14ac:dyDescent="0.25">
      <c r="A79" s="39"/>
      <c r="B79" s="39"/>
      <c r="C79" s="39"/>
      <c r="D79" s="39"/>
      <c r="E79" s="85"/>
      <c r="F79" s="90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</row>
    <row r="80" spans="1:26" x14ac:dyDescent="0.25">
      <c r="A80" s="39"/>
      <c r="B80" s="39"/>
      <c r="C80" s="39"/>
      <c r="D80" s="39"/>
      <c r="E80" s="85"/>
      <c r="F80" s="90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</row>
    <row r="81" spans="1:26" x14ac:dyDescent="0.25">
      <c r="A81" s="39"/>
      <c r="B81" s="39"/>
      <c r="C81" s="39"/>
      <c r="D81" s="39"/>
      <c r="E81" s="85"/>
      <c r="F81" s="90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</row>
    <row r="82" spans="1:26" x14ac:dyDescent="0.25">
      <c r="A82" s="39"/>
      <c r="B82" s="39"/>
      <c r="C82" s="39"/>
      <c r="D82" s="39"/>
      <c r="E82" s="85"/>
      <c r="F82" s="90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</row>
    <row r="83" spans="1:26" x14ac:dyDescent="0.25">
      <c r="A83" s="39"/>
      <c r="B83" s="39"/>
      <c r="C83" s="39"/>
      <c r="D83" s="39"/>
      <c r="E83" s="85"/>
      <c r="F83" s="90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</row>
    <row r="84" spans="1:26" x14ac:dyDescent="0.25">
      <c r="A84" s="39"/>
      <c r="B84" s="39"/>
      <c r="C84" s="39"/>
      <c r="D84" s="39"/>
      <c r="E84" s="85"/>
      <c r="F84" s="90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</row>
    <row r="85" spans="1:26" x14ac:dyDescent="0.25">
      <c r="A85" s="39"/>
      <c r="B85" s="39"/>
      <c r="C85" s="39"/>
      <c r="D85" s="39"/>
      <c r="E85" s="85"/>
      <c r="F85" s="90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</row>
    <row r="86" spans="1:26" x14ac:dyDescent="0.25">
      <c r="A86" s="39"/>
      <c r="B86" s="39"/>
      <c r="C86" s="39"/>
      <c r="D86" s="39"/>
      <c r="E86" s="85"/>
      <c r="F86" s="90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</row>
    <row r="87" spans="1:26" x14ac:dyDescent="0.25">
      <c r="A87" s="39"/>
      <c r="B87" s="39"/>
      <c r="C87" s="39"/>
      <c r="D87" s="39"/>
      <c r="E87" s="85"/>
      <c r="F87" s="90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</row>
    <row r="88" spans="1:26" x14ac:dyDescent="0.25">
      <c r="A88" s="39"/>
      <c r="B88" s="39"/>
      <c r="C88" s="39"/>
      <c r="D88" s="39"/>
      <c r="E88" s="85"/>
      <c r="F88" s="90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</row>
    <row r="89" spans="1:26" x14ac:dyDescent="0.25">
      <c r="A89" s="39"/>
      <c r="B89" s="39"/>
      <c r="C89" s="39"/>
      <c r="D89" s="39"/>
      <c r="E89" s="85"/>
      <c r="F89" s="90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</row>
    <row r="90" spans="1:26" x14ac:dyDescent="0.25">
      <c r="A90" s="39"/>
      <c r="B90" s="39"/>
      <c r="C90" s="39"/>
      <c r="D90" s="39"/>
      <c r="E90" s="85"/>
      <c r="F90" s="90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</row>
    <row r="91" spans="1:26" x14ac:dyDescent="0.25">
      <c r="A91" s="39"/>
      <c r="B91" s="39"/>
      <c r="C91" s="39"/>
      <c r="D91" s="39"/>
      <c r="E91" s="85"/>
      <c r="F91" s="90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</row>
    <row r="92" spans="1:26" x14ac:dyDescent="0.25">
      <c r="A92" s="39"/>
      <c r="B92" s="39"/>
      <c r="C92" s="39"/>
      <c r="D92" s="39"/>
      <c r="E92" s="85"/>
      <c r="F92" s="90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</row>
    <row r="93" spans="1:26" x14ac:dyDescent="0.25">
      <c r="A93" s="39"/>
      <c r="B93" s="39"/>
      <c r="C93" s="39"/>
      <c r="D93" s="39"/>
      <c r="E93" s="85"/>
      <c r="F93" s="90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</row>
    <row r="94" spans="1:26" x14ac:dyDescent="0.25">
      <c r="A94" s="39"/>
      <c r="B94" s="39"/>
      <c r="C94" s="39"/>
      <c r="D94" s="39"/>
      <c r="E94" s="85"/>
      <c r="F94" s="90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26" x14ac:dyDescent="0.25">
      <c r="A95" s="39"/>
      <c r="B95" s="39"/>
      <c r="C95" s="39"/>
      <c r="D95" s="39"/>
      <c r="E95" s="85"/>
      <c r="F95" s="90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</row>
    <row r="96" spans="1:26" x14ac:dyDescent="0.25">
      <c r="A96" s="39"/>
      <c r="B96" s="39"/>
      <c r="C96" s="39"/>
      <c r="D96" s="39"/>
      <c r="E96" s="85"/>
      <c r="F96" s="90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</row>
    <row r="97" spans="1:26" x14ac:dyDescent="0.25">
      <c r="A97" s="39"/>
      <c r="B97" s="39"/>
      <c r="C97" s="39"/>
      <c r="D97" s="39"/>
      <c r="E97" s="85"/>
      <c r="F97" s="90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</row>
    <row r="98" spans="1:26" x14ac:dyDescent="0.25">
      <c r="A98" s="39"/>
      <c r="B98" s="39"/>
      <c r="C98" s="39"/>
      <c r="D98" s="39"/>
      <c r="E98" s="85"/>
      <c r="F98" s="90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</row>
    <row r="99" spans="1:26" x14ac:dyDescent="0.25">
      <c r="A99" s="39"/>
      <c r="B99" s="39"/>
      <c r="C99" s="39"/>
      <c r="D99" s="39"/>
      <c r="E99" s="85"/>
      <c r="F99" s="90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</row>
    <row r="100" spans="1:26" x14ac:dyDescent="0.25">
      <c r="A100" s="39"/>
      <c r="B100" s="39"/>
      <c r="C100" s="39"/>
      <c r="D100" s="39"/>
      <c r="E100" s="85"/>
      <c r="F100" s="90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</row>
    <row r="101" spans="1:26" x14ac:dyDescent="0.25">
      <c r="A101" s="39"/>
      <c r="B101" s="39"/>
      <c r="C101" s="39"/>
      <c r="D101" s="39"/>
      <c r="E101" s="85"/>
      <c r="F101" s="90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</row>
    <row r="102" spans="1:26" x14ac:dyDescent="0.25">
      <c r="A102" s="39"/>
      <c r="B102" s="39"/>
      <c r="C102" s="39"/>
      <c r="D102" s="39"/>
      <c r="E102" s="85"/>
      <c r="F102" s="90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</row>
    <row r="103" spans="1:26" x14ac:dyDescent="0.25">
      <c r="A103" s="39"/>
      <c r="B103" s="39"/>
      <c r="C103" s="39"/>
      <c r="D103" s="39"/>
      <c r="E103" s="85"/>
      <c r="F103" s="90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</row>
    <row r="104" spans="1:26" x14ac:dyDescent="0.25">
      <c r="A104" s="39"/>
      <c r="B104" s="39"/>
      <c r="C104" s="39"/>
      <c r="D104" s="39"/>
      <c r="E104" s="85"/>
      <c r="F104" s="90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</row>
    <row r="105" spans="1:26" x14ac:dyDescent="0.25">
      <c r="A105" s="39"/>
      <c r="B105" s="39"/>
      <c r="C105" s="39"/>
      <c r="D105" s="39"/>
      <c r="E105" s="85"/>
      <c r="F105" s="90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</row>
    <row r="106" spans="1:26" x14ac:dyDescent="0.25">
      <c r="A106" s="39"/>
      <c r="B106" s="39"/>
      <c r="C106" s="39"/>
      <c r="D106" s="39"/>
      <c r="E106" s="85"/>
      <c r="F106" s="90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</row>
    <row r="107" spans="1:26" x14ac:dyDescent="0.25">
      <c r="A107" s="39"/>
      <c r="B107" s="39"/>
      <c r="C107" s="39"/>
      <c r="D107" s="39"/>
      <c r="E107" s="85"/>
      <c r="F107" s="90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</row>
    <row r="108" spans="1:26" x14ac:dyDescent="0.25">
      <c r="A108" s="39"/>
      <c r="B108" s="39"/>
      <c r="C108" s="39"/>
      <c r="D108" s="39"/>
      <c r="E108" s="39"/>
      <c r="F108" s="90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</row>
    <row r="109" spans="1:26" x14ac:dyDescent="0.25">
      <c r="A109" s="39"/>
      <c r="B109" s="39"/>
      <c r="C109" s="39"/>
      <c r="D109" s="39"/>
      <c r="E109" s="39"/>
      <c r="F109" s="90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</row>
    <row r="110" spans="1:26" x14ac:dyDescent="0.25">
      <c r="A110" s="39"/>
      <c r="B110" s="39"/>
      <c r="C110" s="39"/>
      <c r="D110" s="39"/>
      <c r="E110" s="39"/>
      <c r="F110" s="90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</row>
    <row r="111" spans="1:26" x14ac:dyDescent="0.25">
      <c r="A111" s="39"/>
      <c r="B111" s="39"/>
      <c r="C111" s="39"/>
      <c r="D111" s="39"/>
      <c r="E111" s="39"/>
      <c r="F111" s="90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</row>
    <row r="112" spans="1:26" x14ac:dyDescent="0.25">
      <c r="A112" s="39"/>
      <c r="B112" s="39"/>
      <c r="C112" s="39"/>
      <c r="D112" s="39"/>
      <c r="E112" s="39"/>
      <c r="F112" s="90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</row>
    <row r="113" spans="1:26" x14ac:dyDescent="0.2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</row>
    <row r="114" spans="1:26" x14ac:dyDescent="0.2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</row>
    <row r="115" spans="1:26" x14ac:dyDescent="0.2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</row>
    <row r="116" spans="1:26" x14ac:dyDescent="0.2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</row>
    <row r="117" spans="1:26" x14ac:dyDescent="0.2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spans="1:26" x14ac:dyDescent="0.2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</row>
    <row r="119" spans="1:26" x14ac:dyDescent="0.2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</row>
    <row r="120" spans="1:26" x14ac:dyDescent="0.2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</row>
  </sheetData>
  <conditionalFormatting sqref="E8:E107">
    <cfRule type="expression" dxfId="23" priority="3">
      <formula>B8&lt;&gt;""</formula>
    </cfRule>
  </conditionalFormatting>
  <conditionalFormatting sqref="F8:F112">
    <cfRule type="expression" dxfId="22" priority="2">
      <formula>AND(B8&lt;&gt;"",F8="")</formula>
    </cfRule>
  </conditionalFormatting>
  <conditionalFormatting sqref="E5 E7">
    <cfRule type="containsBlanks" dxfId="21" priority="1">
      <formula>LEN(TRIM(E5))=0</formula>
    </cfRule>
  </conditionalFormatting>
  <pageMargins left="0.7" right="0.7" top="0.2" bottom="0.2" header="0.3" footer="0.3"/>
  <pageSetup paperSize="8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5957C-82F1-478A-9E84-E3FD70D174BD}">
  <sheetPr codeName="Sheet6">
    <pageSetUpPr fitToPage="1"/>
  </sheetPr>
  <dimension ref="A1:W91"/>
  <sheetViews>
    <sheetView zoomScaleNormal="100" workbookViewId="0">
      <selection activeCell="Q47" sqref="Q47"/>
    </sheetView>
  </sheetViews>
  <sheetFormatPr defaultRowHeight="15" x14ac:dyDescent="0.25"/>
  <cols>
    <col min="1" max="1" width="3.5703125" customWidth="1"/>
    <col min="3" max="3" width="9.42578125" hidden="1" customWidth="1"/>
    <col min="5" max="5" width="3.85546875" customWidth="1"/>
    <col min="6" max="6" width="12.85546875" customWidth="1"/>
    <col min="9" max="9" width="4.42578125" customWidth="1"/>
    <col min="10" max="12" width="3.85546875" hidden="1" customWidth="1"/>
    <col min="13" max="14" width="4.140625" hidden="1" customWidth="1"/>
    <col min="15" max="15" width="6.42578125" customWidth="1"/>
    <col min="16" max="16" width="18.28515625" customWidth="1"/>
    <col min="17" max="17" width="32.28515625" customWidth="1"/>
    <col min="21" max="21" width="26" customWidth="1"/>
    <col min="23" max="23" width="13.140625" hidden="1" customWidth="1"/>
  </cols>
  <sheetData>
    <row r="1" spans="1:23" ht="57.75" customHeight="1" thickBot="1" x14ac:dyDescent="0.5">
      <c r="J1" s="63"/>
      <c r="K1" s="63"/>
      <c r="L1" s="63"/>
      <c r="M1" s="63"/>
      <c r="N1" s="63"/>
      <c r="P1" s="171" t="s">
        <v>464</v>
      </c>
      <c r="Q1" s="172"/>
    </row>
    <row r="2" spans="1:23" ht="35.25" thickBot="1" x14ac:dyDescent="0.6">
      <c r="P2" s="173">
        <f ca="1">WORKDAY(TODAY(),1)</f>
        <v>46182</v>
      </c>
      <c r="Q2" s="174"/>
    </row>
    <row r="3" spans="1:23" ht="32.25" x14ac:dyDescent="0.25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</row>
    <row r="4" spans="1:23" x14ac:dyDescent="0.25"/>
    <row r="5" spans="1:23" x14ac:dyDescent="0.25"/>
    <row r="6" spans="1:23" x14ac:dyDescent="0.25"/>
    <row r="7" spans="1:23" x14ac:dyDescent="0.25"/>
    <row r="8" spans="1:23" x14ac:dyDescent="0.25"/>
    <row r="9" spans="1:23" x14ac:dyDescent="0.25"/>
    <row r="10" spans="1:23" x14ac:dyDescent="0.25"/>
    <row r="11" spans="1:23" x14ac:dyDescent="0.25"/>
    <row r="12" spans="1:23" x14ac:dyDescent="0.25"/>
    <row r="13" spans="1:23" ht="15.75" thickBot="1" x14ac:dyDescent="0.3"/>
    <row r="14" spans="1:23" ht="15.75" thickBot="1" x14ac:dyDescent="0.3">
      <c r="D14" s="166" t="str">
        <f>'Formule AM + Day'!C18</f>
        <v>VIDE</v>
      </c>
      <c r="E14" s="170"/>
      <c r="F14" s="167"/>
      <c r="I14" s="166" t="str">
        <f>'Formule AM + Day'!H38</f>
        <v>RODRIGUES VAZ, ANDRESSA</v>
      </c>
      <c r="J14" s="170"/>
      <c r="K14" s="170"/>
      <c r="L14" s="170"/>
      <c r="M14" s="170"/>
      <c r="N14" s="170"/>
      <c r="O14" s="170"/>
      <c r="P14" s="167"/>
    </row>
    <row r="15" spans="1:23" ht="15.75" thickBot="1" x14ac:dyDescent="0.3">
      <c r="D15" s="166" t="str">
        <f>'Formule AM + Day'!C17</f>
        <v>VIDE</v>
      </c>
      <c r="E15" s="170"/>
      <c r="F15" s="167"/>
      <c r="I15" s="166" t="str">
        <f>'Formule AM + Day'!H37</f>
        <v>PERSEO, LUCA</v>
      </c>
      <c r="J15" s="170"/>
      <c r="K15" s="170"/>
      <c r="L15" s="170"/>
      <c r="M15" s="170"/>
      <c r="N15" s="170"/>
      <c r="O15" s="170"/>
      <c r="P15" s="167"/>
    </row>
    <row r="16" spans="1:23" ht="24" customHeight="1" thickBot="1" x14ac:dyDescent="0.3">
      <c r="D16" s="166" t="str">
        <f>'Formule AM + Day'!C16</f>
        <v>VIDE</v>
      </c>
      <c r="E16" s="170"/>
      <c r="F16" s="167"/>
      <c r="I16" s="166" t="str">
        <f>'Formule AM + Day'!H34</f>
        <v>MUHINDO KAKULE, JACKSON</v>
      </c>
      <c r="J16" s="170"/>
      <c r="K16" s="170"/>
      <c r="L16" s="170"/>
      <c r="M16" s="170"/>
      <c r="N16" s="170"/>
      <c r="O16" s="170"/>
      <c r="P16" s="167"/>
    </row>
    <row r="17" spans="4:23" ht="15.75" thickBot="1" x14ac:dyDescent="0.3">
      <c r="D17" s="166" t="str">
        <f>'Formule AM + Day'!C15</f>
        <v>VIDE</v>
      </c>
      <c r="E17" s="170"/>
      <c r="F17" s="167"/>
      <c r="I17" s="166" t="str">
        <f>'Formule AM + Day'!H33</f>
        <v>MEZZOUR, M'HAMED HICHAM</v>
      </c>
      <c r="J17" s="170"/>
      <c r="K17" s="170"/>
      <c r="L17" s="170"/>
      <c r="M17" s="170"/>
      <c r="N17" s="170"/>
      <c r="O17" s="170"/>
      <c r="P17" s="167"/>
    </row>
    <row r="18" spans="4:23" ht="15.75" thickBot="1" x14ac:dyDescent="0.3">
      <c r="D18" s="166" t="str">
        <f>'Formule AM + Day'!C14</f>
        <v>VIDE</v>
      </c>
      <c r="E18" s="170"/>
      <c r="F18" s="167"/>
      <c r="I18" s="166" t="str">
        <f>'Formule AM + Day'!H28</f>
        <v>LECLERRE, GREGORY</v>
      </c>
      <c r="J18" s="170"/>
      <c r="K18" s="170"/>
      <c r="L18" s="170"/>
      <c r="M18" s="170"/>
      <c r="N18" s="170"/>
      <c r="O18" s="170"/>
      <c r="P18" s="167"/>
      <c r="Q18" s="65" t="str">
        <f>'Formule AM + Day'!H30</f>
        <v>Technical</v>
      </c>
      <c r="T18" s="166" t="str">
        <f>'Formule AM + Day'!M3</f>
        <v>DECONINCK, PIERRE</v>
      </c>
      <c r="U18" s="167"/>
    </row>
    <row r="19" spans="4:23" ht="15.75" thickBot="1" x14ac:dyDescent="0.3">
      <c r="D19" s="166" t="str">
        <f>'Formule AM + Day'!C13</f>
        <v>VIDE</v>
      </c>
      <c r="E19" s="170"/>
      <c r="F19" s="167"/>
      <c r="I19" s="166" t="str">
        <f>'Formule AM + Day'!H27</f>
        <v>LAWSON, LATE</v>
      </c>
      <c r="J19" s="170"/>
      <c r="K19" s="170"/>
      <c r="L19" s="170"/>
      <c r="M19" s="170"/>
      <c r="N19" s="170"/>
      <c r="O19" s="170"/>
      <c r="P19" s="167"/>
      <c r="Q19" s="65" t="str">
        <f>'Formule AM + Day'!H29</f>
        <v>LEGEAR, MICHAEL</v>
      </c>
      <c r="T19" s="166" t="str">
        <f>'Formule AM + Day'!M4</f>
        <v>JAAFARI, ABDELLATIF</v>
      </c>
      <c r="U19" s="167"/>
    </row>
    <row r="20" spans="4:23" ht="15.75" thickBot="1" x14ac:dyDescent="0.3">
      <c r="D20" s="166" t="str">
        <f>'Formule AM + Day'!C12</f>
        <v>VIDE</v>
      </c>
      <c r="E20" s="170"/>
      <c r="F20" s="167"/>
      <c r="I20" s="166" t="str">
        <f>'Formule AM + Day'!H24</f>
        <v>JACHIMOWICZ, BARBARA</v>
      </c>
      <c r="J20" s="170"/>
      <c r="K20" s="170"/>
      <c r="L20" s="170"/>
      <c r="M20" s="170"/>
      <c r="N20" s="170"/>
      <c r="O20" s="170"/>
      <c r="P20" s="167"/>
      <c r="Q20" s="65" t="str">
        <f>'Formule AM + Day'!H26</f>
        <v>KOUDOU, EMILE</v>
      </c>
      <c r="T20" s="166" t="str">
        <f>'Formule AM + Day'!M5</f>
        <v>LO PILATO, JONATHAN</v>
      </c>
      <c r="U20" s="167"/>
    </row>
    <row r="21" spans="4:23" ht="15.75" thickBot="1" x14ac:dyDescent="0.3">
      <c r="D21" s="166" t="str">
        <f>'Formule AM + Day'!C11</f>
        <v>Technical</v>
      </c>
      <c r="E21" s="170"/>
      <c r="F21" s="167"/>
      <c r="I21" s="166" t="str">
        <f>'Formule AM + Day'!H23</f>
        <v>IZERE, GRACIELLA</v>
      </c>
      <c r="J21" s="170"/>
      <c r="K21" s="170"/>
      <c r="L21" s="170"/>
      <c r="M21" s="170"/>
      <c r="N21" s="170"/>
      <c r="O21" s="170"/>
      <c r="P21" s="167"/>
      <c r="Q21" s="65" t="str">
        <f>'Formule AM + Day'!H25</f>
        <v>KOSTINIS, DIMITRIS</v>
      </c>
      <c r="T21" s="166" t="str">
        <f>'Formule AM + Day'!M6</f>
        <v>Technical</v>
      </c>
      <c r="U21" s="167"/>
    </row>
    <row r="22" spans="4:23" ht="15.75" thickBot="1" x14ac:dyDescent="0.3">
      <c r="D22" s="166" t="str">
        <f>'Formule AM + Day'!C10</f>
        <v>VIDE</v>
      </c>
      <c r="E22" s="170"/>
      <c r="F22" s="167"/>
      <c r="I22" s="166" t="str">
        <f>'Formule AM + Day'!H20</f>
        <v>IKORINEZA, DAVY</v>
      </c>
      <c r="J22" s="170"/>
      <c r="K22" s="170"/>
      <c r="L22" s="170"/>
      <c r="M22" s="170"/>
      <c r="N22" s="170"/>
      <c r="O22" s="170"/>
      <c r="P22" s="167"/>
      <c r="Q22" s="65" t="str">
        <f>'Formule AM + Day'!H22</f>
        <v>Technical</v>
      </c>
      <c r="T22" s="166" t="str">
        <f>'Formule AM + Day'!M7</f>
        <v>MEUNIER, QUENTIN</v>
      </c>
      <c r="U22" s="167"/>
    </row>
    <row r="23" spans="4:23" ht="15.75" thickBot="1" x14ac:dyDescent="0.3">
      <c r="D23" s="166" t="str">
        <f>'Formule AM + Day'!C9</f>
        <v>VIDE</v>
      </c>
      <c r="E23" s="170"/>
      <c r="F23" s="167"/>
      <c r="I23" s="166" t="str">
        <f>'Formule AM + Day'!H19</f>
        <v>GUILLEN GONSALEZ, ROMAIN</v>
      </c>
      <c r="J23" s="170"/>
      <c r="K23" s="170"/>
      <c r="L23" s="170"/>
      <c r="M23" s="170"/>
      <c r="N23" s="170"/>
      <c r="O23" s="170"/>
      <c r="P23" s="167"/>
      <c r="Q23" s="65" t="str">
        <f>'Formule AM + Day'!H21</f>
        <v>IMPEDOVO, SANDRA</v>
      </c>
      <c r="T23" s="166" t="str">
        <f>'Formule AM + Day'!M8</f>
        <v>RAMANZOTTI, ANTHONY</v>
      </c>
      <c r="U23" s="167"/>
    </row>
    <row r="24" spans="4:23" ht="15.75" thickBot="1" x14ac:dyDescent="0.3">
      <c r="D24" s="166" t="str">
        <f>'Formule AM + Day'!C8</f>
        <v>WEIS, ANTHONY</v>
      </c>
      <c r="E24" s="170"/>
      <c r="F24" s="167"/>
      <c r="I24" s="166" t="str">
        <f>'Formule AM + Day'!H16</f>
        <v>FUENTE, CARMINA</v>
      </c>
      <c r="J24" s="170"/>
      <c r="K24" s="170"/>
      <c r="L24" s="170"/>
      <c r="M24" s="170"/>
      <c r="N24" s="170"/>
      <c r="O24" s="170"/>
      <c r="P24" s="167"/>
      <c r="Q24" s="65" t="str">
        <f>'Formule AM + Day'!H18</f>
        <v>GUENOUNOU, KARIMA</v>
      </c>
      <c r="T24" s="166" t="str">
        <f>'Formule AM + Day'!M9</f>
        <v>VIDE</v>
      </c>
      <c r="U24" s="167"/>
    </row>
    <row r="25" spans="4:23" ht="15.75" thickBot="1" x14ac:dyDescent="0.3">
      <c r="D25" s="166" t="str">
        <f>'Formule AM + Day'!C7</f>
        <v>VAN OOTEGHEM, MARVIN</v>
      </c>
      <c r="E25" s="170"/>
      <c r="F25" s="167"/>
      <c r="I25" s="166" t="str">
        <f>'Formule AM + Day'!H15</f>
        <v>DUJARDIN, JULIE</v>
      </c>
      <c r="J25" s="170"/>
      <c r="K25" s="170"/>
      <c r="L25" s="170"/>
      <c r="M25" s="170"/>
      <c r="N25" s="170"/>
      <c r="O25" s="170"/>
      <c r="P25" s="167"/>
      <c r="Q25" s="65" t="str">
        <f>'Formule AM + Day'!H17</f>
        <v>GIORDANO, VALERIE</v>
      </c>
      <c r="T25" s="166" t="str">
        <f>'Formule AM + Day'!M10</f>
        <v>VIDE</v>
      </c>
      <c r="U25" s="167"/>
    </row>
    <row r="26" spans="4:23" ht="15.75" thickBot="1" x14ac:dyDescent="0.3">
      <c r="D26" s="166" t="str">
        <f>'Formule AM + Day'!C6</f>
        <v>SIEDLECKA, KLAUDIA</v>
      </c>
      <c r="E26" s="170"/>
      <c r="F26" s="167"/>
      <c r="I26" s="166" t="str">
        <f>'Formule AM + Day'!H12</f>
        <v>DORVOS, DENISA</v>
      </c>
      <c r="J26" s="170"/>
      <c r="K26" s="170"/>
      <c r="L26" s="170"/>
      <c r="M26" s="170"/>
      <c r="N26" s="170"/>
      <c r="O26" s="170"/>
      <c r="P26" s="167"/>
      <c r="Q26" s="65" t="str">
        <f>'Formule AM + Day'!H14</f>
        <v>DROEVEN, KATHY</v>
      </c>
      <c r="T26" s="166" t="str">
        <f>'Formule AM + Day'!M11</f>
        <v>VIDE</v>
      </c>
      <c r="U26" s="167"/>
    </row>
    <row r="27" spans="4:23" ht="15.75" thickBot="1" x14ac:dyDescent="0.3">
      <c r="D27" s="166" t="str">
        <f>'Formule AM + Day'!C5</f>
        <v>NGUENZI, JOSUE</v>
      </c>
      <c r="E27" s="170"/>
      <c r="F27" s="167"/>
      <c r="I27" s="166" t="str">
        <f>'Formule AM + Day'!H11</f>
        <v>DENISON, COLE</v>
      </c>
      <c r="J27" s="170"/>
      <c r="K27" s="170"/>
      <c r="L27" s="170"/>
      <c r="M27" s="170"/>
      <c r="N27" s="170"/>
      <c r="O27" s="170"/>
      <c r="P27" s="167"/>
      <c r="Q27" s="65" t="str">
        <f>'Formule AM + Day'!H13</f>
        <v>Technical</v>
      </c>
      <c r="T27" s="166" t="str">
        <f>'Formule AM + Day'!M12</f>
        <v>VIDE</v>
      </c>
      <c r="U27" s="167"/>
    </row>
    <row r="28" spans="4:23" ht="15.75" thickBot="1" x14ac:dyDescent="0.3">
      <c r="D28" s="166" t="str">
        <f>'Formule AM + Day'!C4</f>
        <v>MUNDA, CRISTINA</v>
      </c>
      <c r="E28" s="170"/>
      <c r="F28" s="167"/>
      <c r="I28" s="166" t="str">
        <f>'Formule AM + Day'!H8</f>
        <v>BURY, ETIENNE</v>
      </c>
      <c r="J28" s="170"/>
      <c r="K28" s="170"/>
      <c r="L28" s="170"/>
      <c r="M28" s="170"/>
      <c r="N28" s="170"/>
      <c r="O28" s="170"/>
      <c r="P28" s="167"/>
      <c r="Q28" s="65" t="str">
        <f>'Formule AM + Day'!H10</f>
        <v>DELNOOZ, NATHALIE</v>
      </c>
      <c r="T28" s="166" t="str">
        <f>'Formule AM + Day'!M13</f>
        <v>VIDE</v>
      </c>
      <c r="U28" s="167"/>
    </row>
    <row r="29" spans="4:23" ht="15.75" thickBot="1" x14ac:dyDescent="0.3">
      <c r="D29" s="166" t="str">
        <f>'Formule AM + Day'!C3</f>
        <v>EL BELLOUT, SOUHAYL</v>
      </c>
      <c r="E29" s="170"/>
      <c r="F29" s="167"/>
      <c r="I29" s="166" t="str">
        <f>'Formule AM + Day'!H7</f>
        <v>ARROUD, HANANE</v>
      </c>
      <c r="J29" s="170"/>
      <c r="K29" s="170"/>
      <c r="L29" s="170"/>
      <c r="M29" s="170"/>
      <c r="N29" s="170"/>
      <c r="O29" s="170"/>
      <c r="P29" s="167"/>
      <c r="Q29" s="65" t="str">
        <f>'Formule AM + Day'!H9</f>
        <v>CLOSSET, JEROME</v>
      </c>
      <c r="T29" s="166" t="str">
        <f>'Formule AM + Day'!M14</f>
        <v>VIDE</v>
      </c>
      <c r="U29" s="167"/>
    </row>
    <row r="30" spans="4:23" ht="15.75" thickBot="1" x14ac:dyDescent="0.3">
      <c r="I30" s="166" t="str">
        <f>'Formule AM + Day'!H4</f>
        <v>AGNELLO, GERLANDO</v>
      </c>
      <c r="J30" s="170"/>
      <c r="K30" s="170"/>
      <c r="L30" s="170"/>
      <c r="M30" s="170"/>
      <c r="N30" s="170"/>
      <c r="O30" s="170"/>
      <c r="P30" s="167"/>
      <c r="Q30" s="65" t="str">
        <f>'Formule AM + Day'!H6</f>
        <v>ANGUTAEV, OESAMAT</v>
      </c>
      <c r="T30" s="166" t="str">
        <f>'Formule AM + Day'!M15</f>
        <v>VIDE</v>
      </c>
      <c r="U30" s="167"/>
    </row>
    <row r="31" spans="4:23" ht="15.75" thickBot="1" x14ac:dyDescent="0.3">
      <c r="I31" s="166" t="str">
        <f>'Formule AM + Day'!H3</f>
        <v>ABDELMALKI, YOUSSEF</v>
      </c>
      <c r="J31" s="170"/>
      <c r="K31" s="170"/>
      <c r="L31" s="170"/>
      <c r="M31" s="170"/>
      <c r="N31" s="170"/>
      <c r="O31" s="170"/>
      <c r="P31" s="167"/>
      <c r="Q31" s="65" t="str">
        <f>'Formule AM + Day'!H5</f>
        <v>AGOVIC, EDIS</v>
      </c>
      <c r="T31" s="166" t="str">
        <f>'Formule AM + Day'!M16</f>
        <v>Technical</v>
      </c>
      <c r="U31" s="167"/>
    </row>
    <row r="32" spans="4:23" ht="19.5" thickBot="1" x14ac:dyDescent="0.35">
      <c r="I32" s="66" t="s">
        <v>85</v>
      </c>
      <c r="Q32" s="65" t="str">
        <f>'Formule AM + Day'!H31</f>
        <v>LOBET, CHRISTOPHE</v>
      </c>
      <c r="T32" s="166" t="str">
        <f>'Formule AM + Day'!M17</f>
        <v>VIDE</v>
      </c>
      <c r="U32" s="167"/>
    </row>
    <row r="33" spans="3:23" ht="15.75" thickBot="1" x14ac:dyDescent="0.3">
      <c r="I33" s="67"/>
      <c r="Q33" s="65" t="str">
        <f>'Formule AM + Day'!H32</f>
        <v>MAQUIGNY, ANDY</v>
      </c>
      <c r="T33" s="166" t="str">
        <f>'Formule AM + Day'!M18</f>
        <v>VIDE</v>
      </c>
      <c r="U33" s="167"/>
    </row>
    <row r="34" spans="3:23" ht="15.75" thickBot="1" x14ac:dyDescent="0.3">
      <c r="Q34" s="65" t="str">
        <f>'Formule AM + Day'!H35</f>
        <v>NGONDIE ALUA, LOIC</v>
      </c>
      <c r="T34" s="166" t="str">
        <f>'Formule AM + Day'!M19</f>
        <v>Technical</v>
      </c>
      <c r="U34" s="167"/>
    </row>
    <row r="35" spans="3:23" ht="15.75" thickBot="1" x14ac:dyDescent="0.3">
      <c r="Q35" s="65" t="str">
        <f>'Formule AM + Day'!H36</f>
        <v>OZER, MELIK</v>
      </c>
      <c r="T35" s="166" t="str">
        <f>'Formule AM + Day'!M20</f>
        <v>Technical</v>
      </c>
      <c r="U35" s="167"/>
    </row>
    <row r="36" spans="3:23" ht="15.75" thickBot="1" x14ac:dyDescent="0.3">
      <c r="Q36" s="65" t="str">
        <f>'Formule AM + Day'!H39</f>
        <v>ROYER, CORALINE</v>
      </c>
      <c r="T36" s="166" t="str">
        <f>'Formule AM + Day'!M21</f>
        <v>VIDE</v>
      </c>
      <c r="U36" s="167"/>
    </row>
    <row r="37" spans="3:23" ht="15.75" thickBot="1" x14ac:dyDescent="0.3">
      <c r="Q37" s="65" t="str">
        <f>'Formule AM + Day'!H40</f>
        <v>SAINT JUNIOR BISSACK, FELIX</v>
      </c>
      <c r="T37" s="166" t="str">
        <f>'Formule AM + Day'!M22</f>
        <v>VIDE</v>
      </c>
      <c r="U37" s="167"/>
    </row>
    <row r="38" spans="3:23" ht="15.75" thickBot="1" x14ac:dyDescent="0.3">
      <c r="Q38" s="65" t="str">
        <f>'Formule AM + Day'!H41</f>
        <v>SASSO, LAETITIA</v>
      </c>
      <c r="T38" s="166" t="str">
        <f>'Formule AM + Day'!M23</f>
        <v>VIDE</v>
      </c>
      <c r="U38" s="167"/>
    </row>
    <row r="39" spans="3:23" ht="19.5" thickBot="1" x14ac:dyDescent="0.3">
      <c r="C39" s="68"/>
      <c r="D39" s="168"/>
      <c r="E39" s="168"/>
      <c r="F39" s="168"/>
      <c r="O39" s="169"/>
      <c r="Q39" s="65" t="str">
        <f>'Formule AM + Day'!H42</f>
        <v>SCARANO, SARAH</v>
      </c>
      <c r="T39" s="166" t="str">
        <f>'Formule AM + Day'!M24</f>
        <v>VIDE</v>
      </c>
      <c r="U39" s="167"/>
    </row>
    <row r="40" spans="3:23" ht="18.75" x14ac:dyDescent="0.25">
      <c r="C40" s="68"/>
      <c r="D40" s="168"/>
      <c r="E40" s="168"/>
      <c r="F40" s="168"/>
      <c r="O40" s="169"/>
    </row>
    <row r="41" spans="3:23" ht="18.75" x14ac:dyDescent="0.25">
      <c r="C41" s="68"/>
      <c r="D41" s="168"/>
      <c r="E41" s="168"/>
      <c r="F41" s="168"/>
      <c r="O41" s="169"/>
    </row>
    <row r="42" spans="3:23" ht="18.75" x14ac:dyDescent="0.25">
      <c r="C42" s="68"/>
      <c r="D42" s="168"/>
      <c r="E42" s="168"/>
      <c r="F42" s="168"/>
      <c r="O42" s="169"/>
    </row>
    <row r="43" spans="3:23" ht="18.75" x14ac:dyDescent="0.25">
      <c r="C43" s="68"/>
      <c r="D43" s="168"/>
      <c r="E43" s="168"/>
      <c r="F43" s="168"/>
      <c r="O43" s="169"/>
    </row>
    <row r="44" spans="3:23" x14ac:dyDescent="0.25"/>
    <row r="45" spans="3:23" x14ac:dyDescent="0.25"/>
    <row r="46" spans="3:23" x14ac:dyDescent="0.25"/>
    <row r="47" spans="3:23" x14ac:dyDescent="0.25"/>
    <row r="48" spans="3:23" x14ac:dyDescent="0.25"/>
    <row r="49" spans="13:23" x14ac:dyDescent="0.25">
      <c r="M49" s="69"/>
      <c r="N49" s="69"/>
      <c r="O49" s="69"/>
      <c r="P49" s="70"/>
    </row>
    <row r="50" spans="13:23" x14ac:dyDescent="0.25"/>
    <row r="51" spans="13:23" x14ac:dyDescent="0.25"/>
    <row r="52" spans="13:23" x14ac:dyDescent="0.25"/>
    <row r="53" spans="13:23" x14ac:dyDescent="0.25"/>
    <row r="54" spans="13:23" x14ac:dyDescent="0.25"/>
    <row r="55" spans="13:23" x14ac:dyDescent="0.25"/>
    <row r="56" spans="13:23" x14ac:dyDescent="0.25"/>
    <row r="57" spans="13:23" x14ac:dyDescent="0.25"/>
    <row r="58" spans="13:23" x14ac:dyDescent="0.25"/>
    <row r="59" spans="13:23" x14ac:dyDescent="0.25"/>
    <row r="60" spans="13:23" x14ac:dyDescent="0.25"/>
    <row r="61" spans="13:23" x14ac:dyDescent="0.25"/>
    <row r="62" spans="13:23" x14ac:dyDescent="0.25"/>
    <row r="63" spans="13:23" x14ac:dyDescent="0.25"/>
    <row r="64" spans="13:23" x14ac:dyDescent="0.25"/>
    <row r="65" spans="23:23" x14ac:dyDescent="0.25"/>
    <row r="66" spans="23:23" x14ac:dyDescent="0.25"/>
    <row r="67" spans="23:23" x14ac:dyDescent="0.25"/>
    <row r="68" spans="23:23" x14ac:dyDescent="0.25"/>
    <row r="69" spans="23:23" x14ac:dyDescent="0.25"/>
    <row r="70" spans="23:23" x14ac:dyDescent="0.25"/>
    <row r="71" spans="23:23" x14ac:dyDescent="0.25"/>
    <row r="72" spans="23:23" x14ac:dyDescent="0.25"/>
    <row r="73" spans="23:23" x14ac:dyDescent="0.25"/>
    <row r="74" spans="23:23" x14ac:dyDescent="0.25"/>
    <row r="75" spans="23:23" x14ac:dyDescent="0.25"/>
    <row r="76" spans="23:23" x14ac:dyDescent="0.25"/>
    <row r="77" spans="23:23" x14ac:dyDescent="0.25"/>
    <row r="78" spans="23:23" x14ac:dyDescent="0.25"/>
    <row r="79" spans="23:23" x14ac:dyDescent="0.25"/>
    <row r="80" spans="23:23" x14ac:dyDescent="0.25"/>
    <row r="81" spans="23:23" x14ac:dyDescent="0.25"/>
    <row r="82" spans="23:23" x14ac:dyDescent="0.25"/>
    <row r="85" spans="23:23" x14ac:dyDescent="0.25"/>
    <row r="86" spans="23:23" x14ac:dyDescent="0.25"/>
    <row r="87" spans="23:23" x14ac:dyDescent="0.25"/>
    <row r="88" spans="23:23" x14ac:dyDescent="0.25"/>
    <row r="89" spans="23:23" x14ac:dyDescent="0.25"/>
    <row r="90" spans="23:23" x14ac:dyDescent="0.25"/>
    <row r="91" spans="23:23" x14ac:dyDescent="0.25"/>
  </sheetData>
  <mergeCells count="64">
    <mergeCell ref="P1:Q1"/>
    <mergeCell ref="P2:Q2"/>
    <mergeCell ref="D14:F14"/>
    <mergeCell ref="I14:P14"/>
    <mergeCell ref="D15:F15"/>
    <mergeCell ref="I15:P15"/>
    <mergeCell ref="D16:F16"/>
    <mergeCell ref="I16:P16"/>
    <mergeCell ref="D17:F17"/>
    <mergeCell ref="I17:P17"/>
    <mergeCell ref="D18:F18"/>
    <mergeCell ref="I18:P18"/>
    <mergeCell ref="T18:U18"/>
    <mergeCell ref="D19:F19"/>
    <mergeCell ref="I19:P19"/>
    <mergeCell ref="T19:U19"/>
    <mergeCell ref="D20:F20"/>
    <mergeCell ref="I20:P20"/>
    <mergeCell ref="T20:U20"/>
    <mergeCell ref="D21:F21"/>
    <mergeCell ref="I21:P21"/>
    <mergeCell ref="T21:U21"/>
    <mergeCell ref="D22:F22"/>
    <mergeCell ref="I22:P22"/>
    <mergeCell ref="T22:U22"/>
    <mergeCell ref="D23:F23"/>
    <mergeCell ref="I23:P23"/>
    <mergeCell ref="T23:U23"/>
    <mergeCell ref="D24:F24"/>
    <mergeCell ref="I24:P24"/>
    <mergeCell ref="T24:U24"/>
    <mergeCell ref="D25:F25"/>
    <mergeCell ref="I25:P25"/>
    <mergeCell ref="T25:U25"/>
    <mergeCell ref="D26:F26"/>
    <mergeCell ref="I26:P26"/>
    <mergeCell ref="T26:U26"/>
    <mergeCell ref="D27:F27"/>
    <mergeCell ref="I27:P27"/>
    <mergeCell ref="T27:U27"/>
    <mergeCell ref="D28:F28"/>
    <mergeCell ref="I28:P28"/>
    <mergeCell ref="T28:U28"/>
    <mergeCell ref="T37:U37"/>
    <mergeCell ref="D29:F29"/>
    <mergeCell ref="I29:P29"/>
    <mergeCell ref="T29:U29"/>
    <mergeCell ref="I30:P30"/>
    <mergeCell ref="T30:U30"/>
    <mergeCell ref="I31:P31"/>
    <mergeCell ref="T31:U31"/>
    <mergeCell ref="T32:U32"/>
    <mergeCell ref="T33:U33"/>
    <mergeCell ref="T34:U34"/>
    <mergeCell ref="T35:U35"/>
    <mergeCell ref="T36:U36"/>
    <mergeCell ref="T38:U38"/>
    <mergeCell ref="D39:F39"/>
    <mergeCell ref="O39:O43"/>
    <mergeCell ref="T39:U39"/>
    <mergeCell ref="D40:F40"/>
    <mergeCell ref="D41:F41"/>
    <mergeCell ref="D42:F42"/>
    <mergeCell ref="D43:F43"/>
  </mergeCells>
  <conditionalFormatting sqref="D14:F29">
    <cfRule type="cellIs" dxfId="20" priority="3" operator="equal">
      <formula>"VIDE"</formula>
    </cfRule>
    <cfRule type="notContainsBlanks" dxfId="19" priority="17">
      <formula>LEN(TRIM(D14))&gt;0</formula>
    </cfRule>
  </conditionalFormatting>
  <conditionalFormatting sqref="I14:P31">
    <cfRule type="cellIs" dxfId="18" priority="5" operator="equal">
      <formula>"VIDE"</formula>
    </cfRule>
    <cfRule type="notContainsBlanks" dxfId="17" priority="15">
      <formula>LEN(TRIM(I14))&gt;0</formula>
    </cfRule>
  </conditionalFormatting>
  <conditionalFormatting sqref="Q18:R39">
    <cfRule type="cellIs" dxfId="16" priority="6" operator="equal">
      <formula>"VIDE"</formula>
    </cfRule>
    <cfRule type="cellIs" dxfId="15" priority="7" operator="equal">
      <formula>"VIDE"</formula>
    </cfRule>
    <cfRule type="colorScale" priority="9">
      <colorScale>
        <cfvo type="num" val="&quot;OCCUPE&quot;"/>
        <cfvo type="max"/>
        <color rgb="FF00B050"/>
        <color rgb="FFFFEF9C"/>
      </colorScale>
    </cfRule>
    <cfRule type="notContainsBlanks" dxfId="14" priority="16">
      <formula>LEN(TRIM(Q18))&gt;0</formula>
    </cfRule>
  </conditionalFormatting>
  <conditionalFormatting sqref="T18:U39">
    <cfRule type="colorScale" priority="13">
      <colorScale>
        <cfvo type="num" val="&quot;OCCUPE&quot;"/>
        <cfvo type="max"/>
        <color rgb="FF00B050"/>
        <color rgb="FFFFEF9C"/>
      </colorScale>
    </cfRule>
  </conditionalFormatting>
  <conditionalFormatting sqref="T18:U39">
    <cfRule type="cellIs" dxfId="13" priority="10" operator="equal">
      <formula>"VIDE"</formula>
    </cfRule>
    <cfRule type="cellIs" dxfId="12" priority="11" operator="equal">
      <formula>"VIDE"</formula>
    </cfRule>
    <cfRule type="notContainsBlanks" dxfId="11" priority="18">
      <formula>LEN(TRIM(T18))&gt;0</formula>
    </cfRule>
  </conditionalFormatting>
  <conditionalFormatting sqref="T39:U39">
    <cfRule type="colorScale" priority="14">
      <colorScale>
        <cfvo type="num" val="&quot;OCCUPE&quot;"/>
        <cfvo type="max"/>
        <color rgb="FF00B050"/>
        <color rgb="FFFFEF9C"/>
      </colorScale>
    </cfRule>
  </conditionalFormatting>
  <conditionalFormatting sqref="I14:P31 Q18:Q39 T18:U39 D14:F29">
    <cfRule type="containsText" dxfId="10" priority="1" operator="containsText" text="Technical">
      <formula>NOT(ISERROR(SEARCH("Technical",D14)))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8" scale="86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0476C-F4DC-4B88-BC93-F17F48A6DFD2}">
  <sheetPr codeName="Sheet7">
    <pageSetUpPr fitToPage="1"/>
  </sheetPr>
  <dimension ref="A1:W91"/>
  <sheetViews>
    <sheetView zoomScaleNormal="100" workbookViewId="0">
      <selection activeCell="AI38" sqref="AI38"/>
    </sheetView>
  </sheetViews>
  <sheetFormatPr defaultRowHeight="15" x14ac:dyDescent="0.25"/>
  <cols>
    <col min="1" max="1" width="3.5703125" customWidth="1"/>
    <col min="3" max="3" width="9.42578125" hidden="1" customWidth="1"/>
    <col min="5" max="5" width="3.85546875" customWidth="1"/>
    <col min="6" max="6" width="12.85546875" customWidth="1"/>
    <col min="9" max="9" width="4.42578125" customWidth="1"/>
    <col min="10" max="12" width="3.85546875" hidden="1" customWidth="1"/>
    <col min="13" max="14" width="4.140625" hidden="1" customWidth="1"/>
    <col min="15" max="15" width="6.42578125" customWidth="1"/>
    <col min="16" max="16" width="18.28515625" customWidth="1"/>
    <col min="17" max="17" width="32.28515625" customWidth="1"/>
    <col min="21" max="21" width="26" customWidth="1"/>
    <col min="23" max="23" width="13.140625" hidden="1" customWidth="1"/>
  </cols>
  <sheetData>
    <row r="1" spans="1:23" ht="57.75" customHeight="1" thickBot="1" x14ac:dyDescent="0.5">
      <c r="J1" s="63"/>
      <c r="K1" s="63"/>
      <c r="L1" s="63"/>
      <c r="M1" s="63"/>
      <c r="N1" s="63"/>
      <c r="P1" s="171" t="s">
        <v>465</v>
      </c>
      <c r="Q1" s="172"/>
    </row>
    <row r="2" spans="1:23" ht="35.25" thickBot="1" x14ac:dyDescent="0.6">
      <c r="P2" s="173">
        <f ca="1">WORKDAY(TODAY(),1)</f>
        <v>46182</v>
      </c>
      <c r="Q2" s="174"/>
    </row>
    <row r="3" spans="1:23" ht="32.25" x14ac:dyDescent="0.25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</row>
    <row r="4" spans="1:23" x14ac:dyDescent="0.25"/>
    <row r="5" spans="1:23" x14ac:dyDescent="0.25"/>
    <row r="6" spans="1:23" x14ac:dyDescent="0.25"/>
    <row r="7" spans="1:23" x14ac:dyDescent="0.25"/>
    <row r="8" spans="1:23" x14ac:dyDescent="0.25"/>
    <row r="9" spans="1:23" x14ac:dyDescent="0.25"/>
    <row r="10" spans="1:23" x14ac:dyDescent="0.25"/>
    <row r="11" spans="1:23" x14ac:dyDescent="0.25"/>
    <row r="12" spans="1:23" x14ac:dyDescent="0.25"/>
    <row r="13" spans="1:23" ht="15.75" thickBot="1" x14ac:dyDescent="0.3"/>
    <row r="14" spans="1:23" ht="15.75" thickBot="1" x14ac:dyDescent="0.3">
      <c r="D14" s="166" t="str">
        <f>'Formule PM'!C18</f>
        <v>VIDE</v>
      </c>
      <c r="E14" s="170"/>
      <c r="F14" s="167"/>
      <c r="I14" s="166" t="str">
        <f>'Formule PM'!H38</f>
        <v>VIDE</v>
      </c>
      <c r="J14" s="170"/>
      <c r="K14" s="170"/>
      <c r="L14" s="170"/>
      <c r="M14" s="170"/>
      <c r="N14" s="170"/>
      <c r="O14" s="170"/>
      <c r="P14" s="167"/>
    </row>
    <row r="15" spans="1:23" ht="15.75" thickBot="1" x14ac:dyDescent="0.3">
      <c r="D15" s="166" t="str">
        <f>'Formule PM'!C17</f>
        <v>VIDE</v>
      </c>
      <c r="E15" s="170"/>
      <c r="F15" s="167"/>
      <c r="I15" s="166" t="str">
        <f>'Formule PM'!H37</f>
        <v>VIDE</v>
      </c>
      <c r="J15" s="170"/>
      <c r="K15" s="170"/>
      <c r="L15" s="170"/>
      <c r="M15" s="170"/>
      <c r="N15" s="170"/>
      <c r="O15" s="170"/>
      <c r="P15" s="167"/>
    </row>
    <row r="16" spans="1:23" ht="24" customHeight="1" thickBot="1" x14ac:dyDescent="0.3">
      <c r="D16" s="166" t="str">
        <f>'Formule PM'!C16</f>
        <v>VIDE</v>
      </c>
      <c r="E16" s="170"/>
      <c r="F16" s="167"/>
      <c r="I16" s="166" t="str">
        <f>'Formule PM'!H34</f>
        <v>VIDE</v>
      </c>
      <c r="J16" s="170"/>
      <c r="K16" s="170"/>
      <c r="L16" s="170"/>
      <c r="M16" s="170"/>
      <c r="N16" s="170"/>
      <c r="O16" s="170"/>
      <c r="P16" s="167"/>
    </row>
    <row r="17" spans="4:23" ht="15.75" thickBot="1" x14ac:dyDescent="0.3">
      <c r="D17" s="166" t="str">
        <f>'Formule PM'!C15</f>
        <v>VIDE</v>
      </c>
      <c r="E17" s="170"/>
      <c r="F17" s="167"/>
      <c r="I17" s="166" t="str">
        <f>'Formule PM'!H33</f>
        <v>MEZZOUR, M'HAMED HICHAM</v>
      </c>
      <c r="J17" s="170"/>
      <c r="K17" s="170"/>
      <c r="L17" s="170"/>
      <c r="M17" s="170"/>
      <c r="N17" s="170"/>
      <c r="O17" s="170"/>
      <c r="P17" s="167"/>
    </row>
    <row r="18" spans="4:23" ht="15.75" thickBot="1" x14ac:dyDescent="0.3">
      <c r="D18" s="166" t="str">
        <f>'Formule PM'!C14</f>
        <v>VIDE</v>
      </c>
      <c r="E18" s="170"/>
      <c r="F18" s="167"/>
      <c r="I18" s="166" t="str">
        <f>'Formule PM'!H28</f>
        <v>SUSUROV, ALI</v>
      </c>
      <c r="J18" s="170"/>
      <c r="K18" s="170"/>
      <c r="L18" s="170"/>
      <c r="M18" s="170"/>
      <c r="N18" s="170"/>
      <c r="O18" s="170"/>
      <c r="P18" s="167"/>
      <c r="Q18" s="65" t="str">
        <f>'Formule PM'!H30</f>
        <v>Technical</v>
      </c>
      <c r="T18" s="166" t="str">
        <f>'Formule PM'!M3</f>
        <v>KANTE, RAMATA</v>
      </c>
      <c r="U18" s="167"/>
    </row>
    <row r="19" spans="4:23" ht="15.75" thickBot="1" x14ac:dyDescent="0.3">
      <c r="D19" s="166" t="str">
        <f>'Formule PM'!C13</f>
        <v>VIDE</v>
      </c>
      <c r="E19" s="170"/>
      <c r="F19" s="167"/>
      <c r="I19" s="166" t="str">
        <f>'Formule PM'!H27</f>
        <v>SCHOUMAKER, LUC</v>
      </c>
      <c r="J19" s="170"/>
      <c r="K19" s="170"/>
      <c r="L19" s="170"/>
      <c r="M19" s="170"/>
      <c r="N19" s="170"/>
      <c r="O19" s="170"/>
      <c r="P19" s="167"/>
      <c r="Q19" s="65" t="str">
        <f>'Formule PM'!H29</f>
        <v>VARAGONE, DAVINA</v>
      </c>
      <c r="T19" s="166" t="str">
        <f>'Formule PM'!M4</f>
        <v>PEETERS, SEBASTIEN</v>
      </c>
      <c r="U19" s="167"/>
    </row>
    <row r="20" spans="4:23" ht="15.75" thickBot="1" x14ac:dyDescent="0.3">
      <c r="D20" s="166" t="str">
        <f>'Formule PM'!C12</f>
        <v>VIDE</v>
      </c>
      <c r="E20" s="170"/>
      <c r="F20" s="167"/>
      <c r="I20" s="166" t="str">
        <f>'Formule PM'!H24</f>
        <v>MEIRESONNE, FLORENCE</v>
      </c>
      <c r="J20" s="170"/>
      <c r="K20" s="170"/>
      <c r="L20" s="170"/>
      <c r="M20" s="170"/>
      <c r="N20" s="170"/>
      <c r="O20" s="170"/>
      <c r="P20" s="167"/>
      <c r="Q20" s="65" t="str">
        <f>'Formule PM'!H26</f>
        <v>SCHOCKERT, WENDY</v>
      </c>
      <c r="T20" s="166" t="str">
        <f>'Formule PM'!M5</f>
        <v>SALINGUE, DIMITRI</v>
      </c>
      <c r="U20" s="167"/>
    </row>
    <row r="21" spans="4:23" ht="15.75" thickBot="1" x14ac:dyDescent="0.3">
      <c r="D21" s="166" t="str">
        <f>'Formule PM'!C11</f>
        <v>Technical</v>
      </c>
      <c r="E21" s="170"/>
      <c r="F21" s="167"/>
      <c r="I21" s="166" t="str">
        <f>'Formule PM'!H23</f>
        <v>MARTIN, CAROLINE</v>
      </c>
      <c r="J21" s="170"/>
      <c r="K21" s="170"/>
      <c r="L21" s="170"/>
      <c r="M21" s="170"/>
      <c r="N21" s="170"/>
      <c r="O21" s="170"/>
      <c r="P21" s="167"/>
      <c r="Q21" s="65" t="str">
        <f>'Formule PM'!H25</f>
        <v>ROUCHET, QUENTIN</v>
      </c>
      <c r="T21" s="166" t="str">
        <f>'Formule PM'!M6</f>
        <v>Technical</v>
      </c>
      <c r="U21" s="167"/>
    </row>
    <row r="22" spans="4:23" ht="15.75" thickBot="1" x14ac:dyDescent="0.3">
      <c r="D22" s="166" t="str">
        <f>'Formule PM'!C10</f>
        <v>VIDE</v>
      </c>
      <c r="E22" s="170"/>
      <c r="F22" s="167"/>
      <c r="I22" s="166" t="str">
        <f>'Formule PM'!H20</f>
        <v>LEYS, KEVIN</v>
      </c>
      <c r="J22" s="170"/>
      <c r="K22" s="170"/>
      <c r="L22" s="170"/>
      <c r="M22" s="170"/>
      <c r="N22" s="170"/>
      <c r="O22" s="170"/>
      <c r="P22" s="167"/>
      <c r="Q22" s="65" t="str">
        <f>'Formule PM'!H22</f>
        <v>Technical</v>
      </c>
      <c r="T22" s="166" t="str">
        <f>'Formule PM'!M7</f>
        <v>SUERO QUIROS, TRISTAN</v>
      </c>
      <c r="U22" s="167"/>
    </row>
    <row r="23" spans="4:23" ht="15.75" thickBot="1" x14ac:dyDescent="0.3">
      <c r="D23" s="166" t="str">
        <f>'Formule PM'!C9</f>
        <v>VIDE</v>
      </c>
      <c r="E23" s="170"/>
      <c r="F23" s="167"/>
      <c r="I23" s="166" t="str">
        <f>'Formule PM'!H19</f>
        <v>KASRI, YOUNES MOHAMED</v>
      </c>
      <c r="J23" s="170"/>
      <c r="K23" s="170"/>
      <c r="L23" s="170"/>
      <c r="M23" s="170"/>
      <c r="N23" s="170"/>
      <c r="O23" s="170"/>
      <c r="P23" s="167"/>
      <c r="Q23" s="65" t="str">
        <f>'Formule PM'!H21</f>
        <v>MALPAS, BRIAN</v>
      </c>
      <c r="T23" s="166" t="str">
        <f>'Formule PM'!M8</f>
        <v>TOUMI, CHAHID</v>
      </c>
      <c r="U23" s="167"/>
    </row>
    <row r="24" spans="4:23" ht="15.75" thickBot="1" x14ac:dyDescent="0.3">
      <c r="D24" s="166" t="str">
        <f>'Formule PM'!C8</f>
        <v>SUTERA, SANDRO</v>
      </c>
      <c r="E24" s="170"/>
      <c r="F24" s="167"/>
      <c r="I24" s="166" t="str">
        <f>'Formule PM'!H16</f>
        <v>JOSSE, MORGANE</v>
      </c>
      <c r="J24" s="170"/>
      <c r="K24" s="170"/>
      <c r="L24" s="170"/>
      <c r="M24" s="170"/>
      <c r="N24" s="170"/>
      <c r="O24" s="170"/>
      <c r="P24" s="167"/>
      <c r="Q24" s="65" t="str">
        <f>'Formule PM'!H18</f>
        <v>KARAKASHEV, DEYAN</v>
      </c>
      <c r="T24" s="166" t="str">
        <f>'Formule PM'!M9</f>
        <v>VIDE</v>
      </c>
      <c r="U24" s="167"/>
    </row>
    <row r="25" spans="4:23" ht="15.75" thickBot="1" x14ac:dyDescent="0.3">
      <c r="D25" s="166" t="str">
        <f>'Formule PM'!C7</f>
        <v>STEPHANIE, JESSICA</v>
      </c>
      <c r="E25" s="170"/>
      <c r="F25" s="167"/>
      <c r="I25" s="166" t="str">
        <f>'Formule PM'!H15</f>
        <v>HUARD, MARIELLE</v>
      </c>
      <c r="J25" s="170"/>
      <c r="K25" s="170"/>
      <c r="L25" s="170"/>
      <c r="M25" s="170"/>
      <c r="N25" s="170"/>
      <c r="O25" s="170"/>
      <c r="P25" s="167"/>
      <c r="Q25" s="65" t="str">
        <f>'Formule PM'!H17</f>
        <v>GIORDANO, VALERIE</v>
      </c>
      <c r="T25" s="166" t="str">
        <f>'Formule PM'!M10</f>
        <v>VIDE</v>
      </c>
      <c r="U25" s="167"/>
    </row>
    <row r="26" spans="4:23" ht="15.75" thickBot="1" x14ac:dyDescent="0.3">
      <c r="D26" s="166" t="str">
        <f>'Formule PM'!C6</f>
        <v>SOUMAHORO, MORISSONNE</v>
      </c>
      <c r="E26" s="170"/>
      <c r="F26" s="167"/>
      <c r="I26" s="166" t="str">
        <f>'Formule PM'!H12</f>
        <v>EMURLAI, DZINGIS</v>
      </c>
      <c r="J26" s="170"/>
      <c r="K26" s="170"/>
      <c r="L26" s="170"/>
      <c r="M26" s="170"/>
      <c r="N26" s="170"/>
      <c r="O26" s="170"/>
      <c r="P26" s="167"/>
      <c r="Q26" s="65" t="str">
        <f>'Formule PM'!H14</f>
        <v>HALTER, BRYAN</v>
      </c>
      <c r="T26" s="166" t="str">
        <f>'Formule PM'!M11</f>
        <v>VIDE</v>
      </c>
      <c r="U26" s="167"/>
    </row>
    <row r="27" spans="4:23" ht="15.75" thickBot="1" x14ac:dyDescent="0.3">
      <c r="D27" s="166" t="str">
        <f>'Formule PM'!C5</f>
        <v>SEEL, STEPHANIE</v>
      </c>
      <c r="E27" s="170"/>
      <c r="F27" s="167"/>
      <c r="I27" s="166" t="str">
        <f>'Formule PM'!H11</f>
        <v>DUMOULIN, JULIEN</v>
      </c>
      <c r="J27" s="170"/>
      <c r="K27" s="170"/>
      <c r="L27" s="170"/>
      <c r="M27" s="170"/>
      <c r="N27" s="170"/>
      <c r="O27" s="170"/>
      <c r="P27" s="167"/>
      <c r="Q27" s="65" t="str">
        <f>'Formule PM'!H13</f>
        <v>Technical</v>
      </c>
      <c r="T27" s="166" t="str">
        <f>'Formule PM'!M12</f>
        <v>VIDE</v>
      </c>
      <c r="U27" s="167"/>
    </row>
    <row r="28" spans="4:23" ht="15.75" thickBot="1" x14ac:dyDescent="0.3">
      <c r="D28" s="166" t="str">
        <f>'Formule PM'!C4</f>
        <v>LOVINFOSSE, THOMAS</v>
      </c>
      <c r="E28" s="170"/>
      <c r="F28" s="167"/>
      <c r="I28" s="166" t="str">
        <f>'Formule PM'!H8</f>
        <v>CSIKIVGYA, ARTUR</v>
      </c>
      <c r="J28" s="170"/>
      <c r="K28" s="170"/>
      <c r="L28" s="170"/>
      <c r="M28" s="170"/>
      <c r="N28" s="170"/>
      <c r="O28" s="170"/>
      <c r="P28" s="167"/>
      <c r="Q28" s="65" t="str">
        <f>'Formule PM'!H10</f>
        <v>DJOMO NOUYEP, ALAIN</v>
      </c>
      <c r="T28" s="166" t="str">
        <f>'Formule PM'!M13</f>
        <v>VIDE</v>
      </c>
      <c r="U28" s="167"/>
    </row>
    <row r="29" spans="4:23" ht="15.75" thickBot="1" x14ac:dyDescent="0.3">
      <c r="D29" s="166" t="str">
        <f>'Formule PM'!C3</f>
        <v>GAGLA, SARAH</v>
      </c>
      <c r="E29" s="170"/>
      <c r="F29" s="167"/>
      <c r="I29" s="166" t="str">
        <f>'Formule PM'!H7</f>
        <v>ARROUD, HANANE</v>
      </c>
      <c r="J29" s="170"/>
      <c r="K29" s="170"/>
      <c r="L29" s="170"/>
      <c r="M29" s="170"/>
      <c r="N29" s="170"/>
      <c r="O29" s="170"/>
      <c r="P29" s="167"/>
      <c r="Q29" s="65" t="str">
        <f>'Formule PM'!H9</f>
        <v>DEKEYSER, SEVERINE</v>
      </c>
      <c r="T29" s="166" t="str">
        <f>'Formule PM'!M14</f>
        <v>VIDE</v>
      </c>
      <c r="U29" s="167"/>
    </row>
    <row r="30" spans="4:23" ht="15.75" thickBot="1" x14ac:dyDescent="0.3">
      <c r="I30" s="166" t="str">
        <f>'Formule PM'!H4</f>
        <v>ABDOULAYE SIDIKOU, CHARIFATOU</v>
      </c>
      <c r="J30" s="170"/>
      <c r="K30" s="170"/>
      <c r="L30" s="170"/>
      <c r="M30" s="170"/>
      <c r="N30" s="170"/>
      <c r="O30" s="170"/>
      <c r="P30" s="167"/>
      <c r="Q30" s="65" t="str">
        <f>'Formule PM'!H6</f>
        <v>AYDIN, YUSUF</v>
      </c>
      <c r="T30" s="166" t="str">
        <f>'Formule PM'!M15</f>
        <v>VIDE</v>
      </c>
      <c r="U30" s="167"/>
    </row>
    <row r="31" spans="4:23" ht="15.75" thickBot="1" x14ac:dyDescent="0.3">
      <c r="I31" s="166" t="str">
        <f>'Formule PM'!H3</f>
        <v>ABBES, RABAA</v>
      </c>
      <c r="J31" s="170"/>
      <c r="K31" s="170"/>
      <c r="L31" s="170"/>
      <c r="M31" s="170"/>
      <c r="N31" s="170"/>
      <c r="O31" s="170"/>
      <c r="P31" s="167"/>
      <c r="Q31" s="65" t="str">
        <f>'Formule PM'!H5</f>
        <v>AGIRMAN, GULIZIR</v>
      </c>
      <c r="T31" s="166" t="str">
        <f>'Formule PM'!M16</f>
        <v>Technical</v>
      </c>
      <c r="U31" s="167"/>
    </row>
    <row r="32" spans="4:23" ht="19.5" thickBot="1" x14ac:dyDescent="0.35">
      <c r="I32" s="66" t="s">
        <v>85</v>
      </c>
      <c r="Q32" s="65" t="str">
        <f>'Formule PM'!H31</f>
        <v>VIDE</v>
      </c>
      <c r="T32" s="166" t="str">
        <f>'Formule PM'!M17</f>
        <v>VIDE</v>
      </c>
      <c r="U32" s="167"/>
    </row>
    <row r="33" spans="3:23" ht="15.75" thickBot="1" x14ac:dyDescent="0.3">
      <c r="I33" s="67"/>
      <c r="Q33" s="65" t="str">
        <f>'Formule PM'!H32</f>
        <v>VIDE</v>
      </c>
      <c r="T33" s="166" t="str">
        <f>'Formule PM'!M18</f>
        <v>VIDE</v>
      </c>
      <c r="U33" s="167"/>
    </row>
    <row r="34" spans="3:23" ht="15.75" thickBot="1" x14ac:dyDescent="0.3">
      <c r="Q34" s="65" t="str">
        <f>'Formule PM'!H35</f>
        <v>VIDE</v>
      </c>
      <c r="T34" s="166" t="str">
        <f>'Formule PM'!M19</f>
        <v>Technical</v>
      </c>
      <c r="U34" s="167"/>
    </row>
    <row r="35" spans="3:23" ht="15.75" thickBot="1" x14ac:dyDescent="0.3">
      <c r="Q35" s="65" t="str">
        <f>'Formule PM'!H36</f>
        <v>VIDE</v>
      </c>
      <c r="T35" s="166" t="str">
        <f>'Formule PM'!M20</f>
        <v>Technical</v>
      </c>
      <c r="U35" s="167"/>
    </row>
    <row r="36" spans="3:23" ht="15.75" thickBot="1" x14ac:dyDescent="0.3">
      <c r="Q36" s="65" t="str">
        <f>'Formule PM'!H39</f>
        <v>ROYER, CORALINE</v>
      </c>
      <c r="T36" s="166" t="str">
        <f>'Formule PM'!M21</f>
        <v>VIDE</v>
      </c>
      <c r="U36" s="167"/>
    </row>
    <row r="37" spans="3:23" ht="15.75" thickBot="1" x14ac:dyDescent="0.3">
      <c r="Q37" s="65" t="str">
        <f>'Formule PM'!H40</f>
        <v>VIDE</v>
      </c>
      <c r="T37" s="166" t="str">
        <f>'Formule PM'!M22</f>
        <v>VIDE</v>
      </c>
      <c r="U37" s="167"/>
    </row>
    <row r="38" spans="3:23" ht="15.75" thickBot="1" x14ac:dyDescent="0.3">
      <c r="Q38" s="65" t="str">
        <f>'Formule PM'!H41</f>
        <v>VIDE</v>
      </c>
      <c r="T38" s="166" t="str">
        <f>'Formule PM'!M23</f>
        <v>VIDE</v>
      </c>
      <c r="U38" s="167"/>
    </row>
    <row r="39" spans="3:23" ht="19.5" thickBot="1" x14ac:dyDescent="0.3">
      <c r="C39" s="68"/>
      <c r="D39" s="168"/>
      <c r="E39" s="168"/>
      <c r="F39" s="168"/>
      <c r="O39" s="169"/>
      <c r="Q39" s="65" t="str">
        <f>'Formule PM'!H42</f>
        <v>VIDE</v>
      </c>
      <c r="T39" s="166" t="str">
        <f>'Formule PM'!M24</f>
        <v>VIDE</v>
      </c>
      <c r="U39" s="167"/>
    </row>
    <row r="40" spans="3:23" ht="18.75" x14ac:dyDescent="0.25">
      <c r="C40" s="68"/>
      <c r="D40" s="168"/>
      <c r="E40" s="168"/>
      <c r="F40" s="168"/>
      <c r="O40" s="169"/>
    </row>
    <row r="41" spans="3:23" ht="18.75" x14ac:dyDescent="0.25">
      <c r="C41" s="68"/>
      <c r="D41" s="168"/>
      <c r="E41" s="168"/>
      <c r="F41" s="168"/>
      <c r="O41" s="169"/>
    </row>
    <row r="42" spans="3:23" ht="18.75" x14ac:dyDescent="0.25">
      <c r="C42" s="68"/>
      <c r="D42" s="168"/>
      <c r="E42" s="168"/>
      <c r="F42" s="168"/>
      <c r="O42" s="169"/>
    </row>
    <row r="43" spans="3:23" ht="18.75" x14ac:dyDescent="0.25">
      <c r="C43" s="68"/>
      <c r="D43" s="168"/>
      <c r="E43" s="168"/>
      <c r="F43" s="168"/>
      <c r="O43" s="169"/>
    </row>
    <row r="44" spans="3:23" x14ac:dyDescent="0.25"/>
    <row r="45" spans="3:23" x14ac:dyDescent="0.25"/>
    <row r="46" spans="3:23" x14ac:dyDescent="0.25"/>
    <row r="47" spans="3:23" x14ac:dyDescent="0.25"/>
    <row r="48" spans="3:23" x14ac:dyDescent="0.25"/>
    <row r="49" spans="13:23" x14ac:dyDescent="0.25">
      <c r="M49" s="69"/>
      <c r="N49" s="69"/>
      <c r="O49" s="69"/>
      <c r="P49" s="70"/>
    </row>
    <row r="50" spans="13:23" x14ac:dyDescent="0.25"/>
    <row r="51" spans="13:23" x14ac:dyDescent="0.25"/>
    <row r="52" spans="13:23" x14ac:dyDescent="0.25"/>
    <row r="53" spans="13:23" x14ac:dyDescent="0.25"/>
    <row r="54" spans="13:23" x14ac:dyDescent="0.25"/>
    <row r="55" spans="13:23" x14ac:dyDescent="0.25"/>
    <row r="56" spans="13:23" x14ac:dyDescent="0.25"/>
    <row r="57" spans="13:23" x14ac:dyDescent="0.25"/>
    <row r="58" spans="13:23" x14ac:dyDescent="0.25"/>
    <row r="59" spans="13:23" x14ac:dyDescent="0.25"/>
    <row r="60" spans="13:23" x14ac:dyDescent="0.25"/>
    <row r="61" spans="13:23" x14ac:dyDescent="0.25"/>
    <row r="62" spans="13:23" x14ac:dyDescent="0.25"/>
    <row r="63" spans="13:23" x14ac:dyDescent="0.25"/>
    <row r="64" spans="13:23" x14ac:dyDescent="0.25"/>
    <row r="65" spans="23:23" x14ac:dyDescent="0.25"/>
    <row r="66" spans="23:23" x14ac:dyDescent="0.25"/>
    <row r="67" spans="23:23" x14ac:dyDescent="0.25"/>
    <row r="68" spans="23:23" x14ac:dyDescent="0.25"/>
    <row r="69" spans="23:23" x14ac:dyDescent="0.25"/>
    <row r="70" spans="23:23" x14ac:dyDescent="0.25"/>
    <row r="71" spans="23:23" x14ac:dyDescent="0.25"/>
    <row r="72" spans="23:23" x14ac:dyDescent="0.25"/>
    <row r="73" spans="23:23" x14ac:dyDescent="0.25"/>
    <row r="74" spans="23:23" x14ac:dyDescent="0.25"/>
    <row r="75" spans="23:23" x14ac:dyDescent="0.25"/>
    <row r="76" spans="23:23" x14ac:dyDescent="0.25"/>
    <row r="77" spans="23:23" x14ac:dyDescent="0.25"/>
    <row r="78" spans="23:23" x14ac:dyDescent="0.25"/>
    <row r="79" spans="23:23" x14ac:dyDescent="0.25"/>
    <row r="80" spans="23:23" x14ac:dyDescent="0.25"/>
    <row r="81" spans="23:23" x14ac:dyDescent="0.25"/>
    <row r="82" spans="23:23" x14ac:dyDescent="0.25"/>
    <row r="85" spans="23:23" x14ac:dyDescent="0.25"/>
    <row r="86" spans="23:23" x14ac:dyDescent="0.25"/>
    <row r="87" spans="23:23" x14ac:dyDescent="0.25"/>
    <row r="88" spans="23:23" x14ac:dyDescent="0.25"/>
    <row r="89" spans="23:23" x14ac:dyDescent="0.25"/>
    <row r="90" spans="23:23" x14ac:dyDescent="0.25"/>
    <row r="91" spans="23:23" x14ac:dyDescent="0.25"/>
  </sheetData>
  <mergeCells count="64">
    <mergeCell ref="P1:Q1"/>
    <mergeCell ref="P2:Q2"/>
    <mergeCell ref="D14:F14"/>
    <mergeCell ref="I14:P14"/>
    <mergeCell ref="D15:F15"/>
    <mergeCell ref="I15:P15"/>
    <mergeCell ref="D16:F16"/>
    <mergeCell ref="I16:P16"/>
    <mergeCell ref="D17:F17"/>
    <mergeCell ref="I17:P17"/>
    <mergeCell ref="D18:F18"/>
    <mergeCell ref="I18:P18"/>
    <mergeCell ref="T18:U18"/>
    <mergeCell ref="D19:F19"/>
    <mergeCell ref="I19:P19"/>
    <mergeCell ref="T19:U19"/>
    <mergeCell ref="D20:F20"/>
    <mergeCell ref="I20:P20"/>
    <mergeCell ref="T20:U20"/>
    <mergeCell ref="D21:F21"/>
    <mergeCell ref="I21:P21"/>
    <mergeCell ref="T21:U21"/>
    <mergeCell ref="D22:F22"/>
    <mergeCell ref="I22:P22"/>
    <mergeCell ref="T22:U22"/>
    <mergeCell ref="D23:F23"/>
    <mergeCell ref="I23:P23"/>
    <mergeCell ref="T23:U23"/>
    <mergeCell ref="D24:F24"/>
    <mergeCell ref="I24:P24"/>
    <mergeCell ref="T24:U24"/>
    <mergeCell ref="D25:F25"/>
    <mergeCell ref="I25:P25"/>
    <mergeCell ref="T25:U25"/>
    <mergeCell ref="D26:F26"/>
    <mergeCell ref="I26:P26"/>
    <mergeCell ref="T26:U26"/>
    <mergeCell ref="D27:F27"/>
    <mergeCell ref="I27:P27"/>
    <mergeCell ref="T27:U27"/>
    <mergeCell ref="D28:F28"/>
    <mergeCell ref="I28:P28"/>
    <mergeCell ref="T28:U28"/>
    <mergeCell ref="T37:U37"/>
    <mergeCell ref="D29:F29"/>
    <mergeCell ref="I29:P29"/>
    <mergeCell ref="T29:U29"/>
    <mergeCell ref="I30:P30"/>
    <mergeCell ref="T30:U30"/>
    <mergeCell ref="I31:P31"/>
    <mergeCell ref="T31:U31"/>
    <mergeCell ref="T32:U32"/>
    <mergeCell ref="T33:U33"/>
    <mergeCell ref="T34:U34"/>
    <mergeCell ref="T35:U35"/>
    <mergeCell ref="T36:U36"/>
    <mergeCell ref="T38:U38"/>
    <mergeCell ref="D39:F39"/>
    <mergeCell ref="O39:O43"/>
    <mergeCell ref="T39:U39"/>
    <mergeCell ref="D40:F40"/>
    <mergeCell ref="D41:F41"/>
    <mergeCell ref="D42:F42"/>
    <mergeCell ref="D43:F43"/>
  </mergeCells>
  <conditionalFormatting sqref="D14:F29">
    <cfRule type="cellIs" dxfId="9" priority="2" operator="equal">
      <formula>"VIDE"</formula>
    </cfRule>
    <cfRule type="notContainsBlanks" dxfId="8" priority="13">
      <formula>LEN(TRIM(D14))&gt;0</formula>
    </cfRule>
  </conditionalFormatting>
  <conditionalFormatting sqref="I14:P31">
    <cfRule type="cellIs" dxfId="7" priority="3" operator="equal">
      <formula>"VIDE"</formula>
    </cfRule>
    <cfRule type="notContainsBlanks" dxfId="6" priority="11">
      <formula>LEN(TRIM(I14))&gt;0</formula>
    </cfRule>
  </conditionalFormatting>
  <conditionalFormatting sqref="Q18:R39">
    <cfRule type="cellIs" dxfId="5" priority="4" operator="equal">
      <formula>"VIDE"</formula>
    </cfRule>
    <cfRule type="cellIs" dxfId="4" priority="5" operator="equal">
      <formula>"VIDE"</formula>
    </cfRule>
    <cfRule type="colorScale" priority="6">
      <colorScale>
        <cfvo type="num" val="&quot;OCCUPE&quot;"/>
        <cfvo type="max"/>
        <color rgb="FF00B050"/>
        <color rgb="FFFFEF9C"/>
      </colorScale>
    </cfRule>
    <cfRule type="notContainsBlanks" dxfId="3" priority="12">
      <formula>LEN(TRIM(Q18))&gt;0</formula>
    </cfRule>
  </conditionalFormatting>
  <conditionalFormatting sqref="T18:U39">
    <cfRule type="colorScale" priority="1">
      <colorScale>
        <cfvo type="num" val="&quot;OCCUPE&quot;"/>
        <cfvo type="max"/>
        <color rgb="FF00B050"/>
        <color rgb="FFFFEF9C"/>
      </colorScale>
    </cfRule>
  </conditionalFormatting>
  <conditionalFormatting sqref="T18:U39">
    <cfRule type="notContainsBlanks" dxfId="2" priority="8">
      <formula>LEN(TRIM(T18))&gt;0</formula>
    </cfRule>
    <cfRule type="cellIs" dxfId="1" priority="9" operator="equal">
      <formula>"VIDE"</formula>
    </cfRule>
  </conditionalFormatting>
  <conditionalFormatting sqref="T39:U39">
    <cfRule type="colorScale" priority="10">
      <colorScale>
        <cfvo type="num" val="&quot;OCCUPE&quot;"/>
        <cfvo type="max"/>
        <color rgb="FF00B050"/>
        <color rgb="FFFFEF9C"/>
      </colorScale>
    </cfRule>
  </conditionalFormatting>
  <conditionalFormatting sqref="I14:P31 Q18:Q39 T18:U39 D14:F29">
    <cfRule type="containsText" dxfId="0" priority="7" operator="containsText" text="Technical">
      <formula>NOT(ISERROR(SEARCH("Technical",D14)))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8" scale="86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05B83-BF16-42B4-8126-E73867DEAC82}">
  <sheetPr codeName="Sheet9"/>
  <dimension ref="A1:U46"/>
  <sheetViews>
    <sheetView workbookViewId="0">
      <selection activeCell="B11" sqref="B11"/>
    </sheetView>
  </sheetViews>
  <sheetFormatPr defaultRowHeight="15" x14ac:dyDescent="0.25"/>
  <cols>
    <col min="11" max="11" width="9.140625" customWidth="1"/>
    <col min="12" max="12" width="6.85546875" customWidth="1"/>
  </cols>
  <sheetData>
    <row r="1" spans="1:21" x14ac:dyDescent="0.25">
      <c r="A1" s="175" t="s">
        <v>162</v>
      </c>
      <c r="B1" s="175"/>
      <c r="C1" s="61"/>
      <c r="D1" s="176" t="s">
        <v>354</v>
      </c>
      <c r="E1" s="176"/>
      <c r="F1" s="61"/>
      <c r="G1" s="176" t="s">
        <v>163</v>
      </c>
      <c r="H1" s="176"/>
      <c r="I1" s="61"/>
      <c r="J1" s="61"/>
    </row>
    <row r="2" spans="1:21" x14ac:dyDescent="0.25">
      <c r="A2" s="61" t="s">
        <v>466</v>
      </c>
      <c r="B2" s="61" t="s">
        <v>203</v>
      </c>
      <c r="C2" s="61"/>
      <c r="D2" s="61" t="s">
        <v>466</v>
      </c>
      <c r="E2" s="61"/>
      <c r="F2" s="61"/>
      <c r="G2" s="61" t="s">
        <v>466</v>
      </c>
      <c r="H2" s="61" t="s">
        <v>467</v>
      </c>
      <c r="I2" s="61"/>
      <c r="J2" s="61"/>
      <c r="L2" t="s">
        <v>467</v>
      </c>
    </row>
    <row r="3" spans="1:21" x14ac:dyDescent="0.25">
      <c r="A3" s="61" t="s">
        <v>468</v>
      </c>
      <c r="B3" s="61"/>
      <c r="C3" s="61"/>
      <c r="D3" s="61" t="s">
        <v>469</v>
      </c>
      <c r="E3" s="61"/>
      <c r="F3" s="61"/>
      <c r="G3" s="61" t="s">
        <v>470</v>
      </c>
      <c r="H3" s="61"/>
      <c r="I3" s="61"/>
      <c r="J3" s="61"/>
    </row>
    <row r="4" spans="1:21" x14ac:dyDescent="0.25">
      <c r="A4" s="61" t="s">
        <v>471</v>
      </c>
      <c r="B4" s="61"/>
      <c r="C4" s="61"/>
      <c r="D4" s="61" t="s">
        <v>472</v>
      </c>
      <c r="E4" s="61"/>
      <c r="F4" s="61"/>
      <c r="G4" s="61" t="s">
        <v>473</v>
      </c>
      <c r="H4" s="61"/>
      <c r="I4" s="61"/>
      <c r="J4" s="61"/>
    </row>
    <row r="5" spans="1:21" x14ac:dyDescent="0.25">
      <c r="A5" s="61" t="s">
        <v>474</v>
      </c>
      <c r="B5" s="61"/>
      <c r="C5" s="61"/>
      <c r="D5" s="61" t="s">
        <v>475</v>
      </c>
      <c r="E5" s="61"/>
      <c r="F5" s="61"/>
      <c r="G5" s="61" t="s">
        <v>476</v>
      </c>
      <c r="H5" s="61"/>
      <c r="I5" s="61"/>
      <c r="J5" s="61"/>
    </row>
    <row r="6" spans="1:21" x14ac:dyDescent="0.25">
      <c r="A6" s="61" t="s">
        <v>477</v>
      </c>
      <c r="B6" s="61"/>
      <c r="C6" s="61"/>
      <c r="D6" s="61" t="s">
        <v>478</v>
      </c>
      <c r="E6" s="61"/>
      <c r="F6" s="61"/>
      <c r="G6" s="61" t="s">
        <v>479</v>
      </c>
      <c r="H6" s="61" t="s">
        <v>467</v>
      </c>
      <c r="I6" s="61"/>
      <c r="J6" s="61"/>
    </row>
    <row r="7" spans="1:21" x14ac:dyDescent="0.25">
      <c r="A7" s="61" t="s">
        <v>480</v>
      </c>
      <c r="B7" s="61"/>
      <c r="C7" s="61"/>
      <c r="D7" s="61" t="s">
        <v>481</v>
      </c>
      <c r="E7" s="61"/>
      <c r="F7" s="61"/>
      <c r="G7" s="61" t="s">
        <v>482</v>
      </c>
      <c r="H7" s="61"/>
      <c r="I7" s="61"/>
      <c r="J7" s="61"/>
    </row>
    <row r="8" spans="1:21" x14ac:dyDescent="0.25">
      <c r="A8" s="61" t="s">
        <v>483</v>
      </c>
      <c r="B8" s="61"/>
      <c r="C8" s="61"/>
      <c r="D8" s="61" t="s">
        <v>484</v>
      </c>
      <c r="E8" s="61"/>
      <c r="F8" s="61"/>
      <c r="G8" s="61" t="s">
        <v>485</v>
      </c>
      <c r="H8" s="61"/>
      <c r="I8" s="61"/>
      <c r="J8" s="61"/>
    </row>
    <row r="9" spans="1:21" x14ac:dyDescent="0.25">
      <c r="A9" s="61" t="s">
        <v>486</v>
      </c>
      <c r="B9" s="61"/>
      <c r="C9" s="61"/>
      <c r="D9" s="61" t="s">
        <v>487</v>
      </c>
      <c r="E9" s="61"/>
      <c r="F9" s="61"/>
      <c r="G9" s="61" t="s">
        <v>488</v>
      </c>
      <c r="H9" s="61"/>
      <c r="I9" s="61"/>
      <c r="J9" s="61"/>
    </row>
    <row r="10" spans="1:21" x14ac:dyDescent="0.25">
      <c r="A10" s="61" t="s">
        <v>489</v>
      </c>
      <c r="B10" s="61"/>
      <c r="C10" s="61"/>
      <c r="D10" s="61" t="s">
        <v>490</v>
      </c>
      <c r="E10" s="61"/>
      <c r="F10" s="61"/>
      <c r="G10" s="61" t="s">
        <v>491</v>
      </c>
      <c r="H10" s="61"/>
      <c r="I10" s="61"/>
      <c r="J10" s="61"/>
    </row>
    <row r="11" spans="1:21" x14ac:dyDescent="0.25">
      <c r="A11" s="61" t="s">
        <v>492</v>
      </c>
      <c r="B11" s="61" t="s">
        <v>467</v>
      </c>
      <c r="C11" s="61"/>
      <c r="D11" s="61" t="s">
        <v>493</v>
      </c>
      <c r="E11" s="61"/>
      <c r="F11" s="61"/>
      <c r="G11" s="61" t="s">
        <v>494</v>
      </c>
      <c r="H11" s="61"/>
      <c r="I11" s="61"/>
      <c r="J11" s="61"/>
    </row>
    <row r="12" spans="1:21" x14ac:dyDescent="0.25">
      <c r="A12" s="61" t="s">
        <v>495</v>
      </c>
      <c r="B12" s="61"/>
      <c r="C12" s="61"/>
      <c r="D12" s="61" t="s">
        <v>496</v>
      </c>
      <c r="E12" s="61"/>
      <c r="F12" s="61"/>
      <c r="G12" s="61" t="s">
        <v>497</v>
      </c>
      <c r="H12" s="61"/>
      <c r="I12" s="61"/>
      <c r="J12" s="61"/>
    </row>
    <row r="13" spans="1:21" x14ac:dyDescent="0.25">
      <c r="A13" s="61" t="s">
        <v>498</v>
      </c>
      <c r="B13" s="61"/>
      <c r="C13" s="61"/>
      <c r="D13" s="61" t="s">
        <v>499</v>
      </c>
      <c r="E13" s="61" t="s">
        <v>467</v>
      </c>
      <c r="F13" s="61"/>
      <c r="G13" s="61" t="s">
        <v>500</v>
      </c>
      <c r="H13" s="61"/>
      <c r="I13" s="61"/>
      <c r="J13" s="61"/>
      <c r="U13">
        <v>16</v>
      </c>
    </row>
    <row r="14" spans="1:21" x14ac:dyDescent="0.25">
      <c r="A14" s="61" t="s">
        <v>501</v>
      </c>
      <c r="B14" s="61"/>
      <c r="C14" s="61"/>
      <c r="D14" s="61" t="s">
        <v>502</v>
      </c>
      <c r="E14" s="61"/>
      <c r="F14" s="61"/>
      <c r="G14" s="61" t="s">
        <v>503</v>
      </c>
      <c r="H14" s="61"/>
      <c r="I14" s="61"/>
      <c r="J14" s="61"/>
      <c r="U14">
        <v>44</v>
      </c>
    </row>
    <row r="15" spans="1:21" x14ac:dyDescent="0.25">
      <c r="A15" s="61" t="s">
        <v>504</v>
      </c>
      <c r="B15" s="61"/>
      <c r="C15" s="61"/>
      <c r="D15" s="61" t="s">
        <v>505</v>
      </c>
      <c r="E15" s="61"/>
      <c r="F15" s="61"/>
      <c r="G15" s="61" t="s">
        <v>506</v>
      </c>
      <c r="H15" s="61"/>
      <c r="I15" s="61"/>
      <c r="J15" s="61"/>
      <c r="U15">
        <v>22</v>
      </c>
    </row>
    <row r="16" spans="1:21" x14ac:dyDescent="0.25">
      <c r="A16" s="61" t="s">
        <v>507</v>
      </c>
      <c r="B16" s="61"/>
      <c r="C16" s="61"/>
      <c r="D16" s="61" t="s">
        <v>508</v>
      </c>
      <c r="E16" s="61"/>
      <c r="F16" s="61"/>
      <c r="G16" s="61" t="s">
        <v>509</v>
      </c>
      <c r="H16" s="61" t="s">
        <v>467</v>
      </c>
      <c r="I16" s="61"/>
      <c r="J16" s="61"/>
    </row>
    <row r="17" spans="1:21" x14ac:dyDescent="0.25">
      <c r="A17" s="61" t="s">
        <v>510</v>
      </c>
      <c r="B17" s="61"/>
      <c r="C17" s="61"/>
      <c r="D17" s="61" t="s">
        <v>511</v>
      </c>
      <c r="E17" s="61"/>
      <c r="F17" s="61"/>
      <c r="G17" s="61" t="s">
        <v>512</v>
      </c>
      <c r="H17" s="61"/>
      <c r="I17" s="61"/>
      <c r="J17" s="61"/>
    </row>
    <row r="18" spans="1:21" x14ac:dyDescent="0.25">
      <c r="A18" s="61" t="s">
        <v>513</v>
      </c>
      <c r="B18" s="61"/>
      <c r="C18" s="61"/>
      <c r="D18" s="61" t="s">
        <v>514</v>
      </c>
      <c r="E18" s="61"/>
      <c r="F18" s="61"/>
      <c r="G18" s="61" t="s">
        <v>515</v>
      </c>
      <c r="H18" s="61"/>
      <c r="I18" s="61"/>
      <c r="J18" s="61"/>
      <c r="U18">
        <f>82-14</f>
        <v>68</v>
      </c>
    </row>
    <row r="19" spans="1:21" x14ac:dyDescent="0.25">
      <c r="A19" s="61"/>
      <c r="B19" s="61"/>
      <c r="C19" s="61"/>
      <c r="D19" s="61" t="s">
        <v>516</v>
      </c>
      <c r="E19" s="61"/>
      <c r="F19" s="61"/>
      <c r="G19" s="61" t="s">
        <v>517</v>
      </c>
      <c r="H19" s="61" t="s">
        <v>467</v>
      </c>
      <c r="I19" s="61"/>
      <c r="J19" s="61"/>
    </row>
    <row r="20" spans="1:21" x14ac:dyDescent="0.25">
      <c r="A20" s="61"/>
      <c r="B20" s="61"/>
      <c r="C20" s="61"/>
      <c r="D20" s="61" t="s">
        <v>518</v>
      </c>
      <c r="E20" s="61"/>
      <c r="F20" s="61"/>
      <c r="G20" s="61" t="s">
        <v>519</v>
      </c>
      <c r="H20" s="61" t="s">
        <v>467</v>
      </c>
      <c r="I20" s="61"/>
      <c r="J20" s="61"/>
    </row>
    <row r="21" spans="1:21" x14ac:dyDescent="0.25">
      <c r="A21" s="61"/>
      <c r="B21" s="61"/>
      <c r="C21" s="61"/>
      <c r="D21" s="61" t="s">
        <v>520</v>
      </c>
      <c r="E21" s="61"/>
      <c r="F21" s="61"/>
      <c r="G21" s="61" t="s">
        <v>521</v>
      </c>
      <c r="H21" s="61"/>
      <c r="I21" s="61"/>
      <c r="J21" s="61"/>
    </row>
    <row r="22" spans="1:21" x14ac:dyDescent="0.25">
      <c r="A22" s="61"/>
      <c r="B22" s="61"/>
      <c r="C22" s="61"/>
      <c r="D22" s="61" t="s">
        <v>522</v>
      </c>
      <c r="E22" s="61" t="s">
        <v>467</v>
      </c>
      <c r="F22" s="61"/>
      <c r="G22" s="61" t="s">
        <v>523</v>
      </c>
      <c r="H22" s="61"/>
      <c r="I22" s="61"/>
      <c r="J22" s="61"/>
    </row>
    <row r="23" spans="1:21" x14ac:dyDescent="0.25">
      <c r="A23" s="61"/>
      <c r="B23" s="61"/>
      <c r="C23" s="61"/>
      <c r="D23" s="61" t="s">
        <v>524</v>
      </c>
      <c r="E23" s="61"/>
      <c r="F23" s="61"/>
      <c r="G23" s="61" t="s">
        <v>525</v>
      </c>
      <c r="H23" s="61"/>
      <c r="I23" s="61"/>
      <c r="J23" s="61"/>
    </row>
    <row r="24" spans="1:21" x14ac:dyDescent="0.25">
      <c r="A24" s="61"/>
      <c r="B24" s="61"/>
      <c r="C24" s="61"/>
      <c r="D24" s="61" t="s">
        <v>526</v>
      </c>
      <c r="E24" s="61"/>
      <c r="F24" s="61"/>
      <c r="G24" s="61" t="s">
        <v>527</v>
      </c>
      <c r="H24" s="61"/>
      <c r="I24" s="61"/>
      <c r="J24" s="61"/>
    </row>
    <row r="25" spans="1:21" x14ac:dyDescent="0.25">
      <c r="A25" s="61"/>
      <c r="B25" s="61"/>
      <c r="C25" s="61"/>
      <c r="D25" s="61" t="s">
        <v>528</v>
      </c>
      <c r="E25" s="61"/>
      <c r="F25" s="61"/>
      <c r="G25" s="61"/>
      <c r="H25" s="61"/>
      <c r="I25" s="61"/>
      <c r="J25" s="61"/>
    </row>
    <row r="26" spans="1:21" x14ac:dyDescent="0.25">
      <c r="A26" s="61"/>
      <c r="B26" s="61"/>
      <c r="C26" s="61"/>
      <c r="D26" s="61" t="s">
        <v>529</v>
      </c>
      <c r="E26" s="61"/>
      <c r="F26" s="61"/>
      <c r="G26" s="61"/>
      <c r="H26" s="61"/>
      <c r="I26" s="61"/>
      <c r="J26" s="61"/>
    </row>
    <row r="27" spans="1:21" x14ac:dyDescent="0.25">
      <c r="A27" s="61"/>
      <c r="B27" s="61"/>
      <c r="C27" s="61"/>
      <c r="D27" s="61" t="s">
        <v>530</v>
      </c>
      <c r="E27" s="61"/>
      <c r="F27" s="61"/>
      <c r="G27" s="61"/>
      <c r="H27" s="61"/>
      <c r="I27" s="61"/>
      <c r="J27" s="61"/>
    </row>
    <row r="28" spans="1:21" x14ac:dyDescent="0.25">
      <c r="A28" s="61"/>
      <c r="B28" s="61"/>
      <c r="C28" s="61"/>
      <c r="D28" s="61" t="s">
        <v>531</v>
      </c>
      <c r="E28" s="61"/>
      <c r="F28" s="61"/>
      <c r="G28" s="61"/>
      <c r="H28" s="61"/>
      <c r="I28" s="61"/>
      <c r="J28" s="61"/>
    </row>
    <row r="29" spans="1:21" x14ac:dyDescent="0.25">
      <c r="A29" s="61"/>
      <c r="B29" s="61"/>
      <c r="C29" s="61"/>
      <c r="D29" s="61" t="s">
        <v>532</v>
      </c>
      <c r="E29" s="61"/>
      <c r="F29" s="61"/>
      <c r="G29" s="61"/>
      <c r="H29" s="61"/>
      <c r="I29" s="61"/>
      <c r="J29" s="61"/>
    </row>
    <row r="30" spans="1:21" x14ac:dyDescent="0.25">
      <c r="A30" s="61"/>
      <c r="B30" s="61"/>
      <c r="C30" s="61"/>
      <c r="D30" s="61" t="s">
        <v>533</v>
      </c>
      <c r="E30" s="61" t="s">
        <v>467</v>
      </c>
      <c r="F30" s="61"/>
      <c r="G30" s="61"/>
      <c r="H30" s="61"/>
      <c r="I30" s="61"/>
      <c r="J30" s="61"/>
    </row>
    <row r="31" spans="1:21" x14ac:dyDescent="0.25">
      <c r="A31" s="61"/>
      <c r="B31" s="61"/>
      <c r="C31" s="61"/>
      <c r="D31" s="61" t="s">
        <v>534</v>
      </c>
      <c r="E31" s="61"/>
      <c r="F31" s="61"/>
      <c r="G31" s="61"/>
      <c r="H31" s="61"/>
      <c r="I31" s="61"/>
      <c r="J31" s="61"/>
    </row>
    <row r="32" spans="1:21" x14ac:dyDescent="0.25">
      <c r="A32" s="61"/>
      <c r="B32" s="61"/>
      <c r="C32" s="61"/>
      <c r="D32" s="61" t="s">
        <v>535</v>
      </c>
      <c r="E32" s="61"/>
      <c r="F32" s="61"/>
      <c r="G32" s="61"/>
      <c r="H32" s="61"/>
      <c r="I32" s="61"/>
      <c r="J32" s="61"/>
    </row>
    <row r="33" spans="1:10" x14ac:dyDescent="0.25">
      <c r="A33" s="61"/>
      <c r="B33" s="61"/>
      <c r="C33" s="61"/>
      <c r="D33" s="61" t="s">
        <v>536</v>
      </c>
      <c r="E33" s="61"/>
      <c r="F33" s="61"/>
      <c r="G33" s="61"/>
      <c r="H33" s="61"/>
      <c r="I33" s="61"/>
      <c r="J33" s="61"/>
    </row>
    <row r="34" spans="1:10" x14ac:dyDescent="0.25">
      <c r="A34" s="61"/>
      <c r="B34" s="61"/>
      <c r="C34" s="61"/>
      <c r="D34" s="61" t="s">
        <v>537</v>
      </c>
      <c r="E34" s="61"/>
      <c r="F34" s="61"/>
      <c r="G34" s="61"/>
      <c r="H34" s="61"/>
      <c r="I34" s="61"/>
      <c r="J34" s="61"/>
    </row>
    <row r="35" spans="1:10" x14ac:dyDescent="0.25">
      <c r="A35" s="61"/>
      <c r="B35" s="61"/>
      <c r="C35" s="61"/>
      <c r="D35" s="61" t="s">
        <v>538</v>
      </c>
      <c r="E35" s="61"/>
      <c r="F35" s="61"/>
      <c r="G35" s="61"/>
      <c r="H35" s="61"/>
      <c r="I35" s="61"/>
      <c r="J35" s="61"/>
    </row>
    <row r="36" spans="1:10" x14ac:dyDescent="0.25">
      <c r="A36" s="61"/>
      <c r="B36" s="61"/>
      <c r="C36" s="61"/>
      <c r="D36" s="61" t="s">
        <v>539</v>
      </c>
      <c r="E36" s="61"/>
      <c r="F36" s="61"/>
      <c r="G36" s="61"/>
      <c r="H36" s="61"/>
      <c r="I36" s="61"/>
      <c r="J36" s="61"/>
    </row>
    <row r="37" spans="1:10" x14ac:dyDescent="0.25">
      <c r="A37" s="61"/>
      <c r="B37" s="61"/>
      <c r="C37" s="61"/>
      <c r="D37" s="61" t="s">
        <v>540</v>
      </c>
      <c r="E37" s="61"/>
      <c r="F37" s="61"/>
      <c r="G37" s="61"/>
      <c r="H37" s="61"/>
      <c r="I37" s="61"/>
      <c r="J37" s="61"/>
    </row>
    <row r="38" spans="1:10" x14ac:dyDescent="0.25">
      <c r="A38" s="61"/>
      <c r="B38" s="61"/>
      <c r="C38" s="61"/>
      <c r="D38" s="61" t="s">
        <v>541</v>
      </c>
      <c r="E38" s="61"/>
      <c r="F38" s="61"/>
      <c r="G38" s="61"/>
      <c r="H38" s="61"/>
      <c r="I38" s="61"/>
      <c r="J38" s="61"/>
    </row>
    <row r="39" spans="1:10" x14ac:dyDescent="0.25">
      <c r="A39" s="61"/>
      <c r="B39" s="61"/>
      <c r="C39" s="61"/>
      <c r="D39" s="61" t="s">
        <v>542</v>
      </c>
      <c r="E39" s="61"/>
      <c r="F39" s="61"/>
      <c r="G39" s="61"/>
      <c r="H39" s="61"/>
      <c r="I39" s="61"/>
      <c r="J39" s="61"/>
    </row>
    <row r="40" spans="1:10" x14ac:dyDescent="0.25">
      <c r="A40" s="61"/>
      <c r="B40" s="61"/>
      <c r="C40" s="61"/>
      <c r="D40" s="61" t="s">
        <v>543</v>
      </c>
      <c r="E40" s="61"/>
      <c r="F40" s="61"/>
      <c r="G40" s="61"/>
      <c r="H40" s="61"/>
      <c r="I40" s="61"/>
      <c r="J40" s="61"/>
    </row>
    <row r="41" spans="1:10" x14ac:dyDescent="0.25">
      <c r="A41" s="61"/>
      <c r="B41" s="61"/>
      <c r="C41" s="61"/>
      <c r="D41" s="61" t="s">
        <v>544</v>
      </c>
      <c r="E41" s="61"/>
      <c r="F41" s="61"/>
      <c r="G41" s="61"/>
      <c r="H41" s="61"/>
      <c r="I41" s="61"/>
      <c r="J41" s="61"/>
    </row>
    <row r="42" spans="1:10" x14ac:dyDescent="0.25">
      <c r="A42" s="61"/>
      <c r="B42" s="61"/>
      <c r="C42" s="61"/>
      <c r="D42" s="61" t="s">
        <v>545</v>
      </c>
      <c r="E42" s="61"/>
      <c r="F42" s="61"/>
      <c r="G42" s="61"/>
      <c r="H42" s="61"/>
      <c r="I42" s="61"/>
      <c r="J42" s="61"/>
    </row>
    <row r="43" spans="1:10" x14ac:dyDescent="0.25">
      <c r="A43" s="61"/>
      <c r="B43" s="61"/>
      <c r="C43" s="61"/>
      <c r="D43" s="61" t="s">
        <v>546</v>
      </c>
      <c r="E43" s="61"/>
      <c r="F43" s="61"/>
      <c r="G43" s="61"/>
      <c r="H43" s="61"/>
      <c r="I43" s="61"/>
      <c r="J43" s="61"/>
    </row>
    <row r="44" spans="1:10" x14ac:dyDescent="0.25">
      <c r="A44" s="61"/>
      <c r="B44" s="61"/>
      <c r="C44" s="61"/>
      <c r="D44" s="61" t="s">
        <v>547</v>
      </c>
      <c r="E44" s="61"/>
      <c r="F44" s="61"/>
      <c r="G44" s="61"/>
      <c r="H44" s="61"/>
      <c r="I44" s="61"/>
      <c r="J44" s="61"/>
    </row>
    <row r="45" spans="1:10" x14ac:dyDescent="0.25">
      <c r="A45" s="61"/>
      <c r="B45" s="61"/>
      <c r="C45" s="61"/>
      <c r="D45" s="61" t="s">
        <v>548</v>
      </c>
      <c r="E45" s="61"/>
      <c r="F45" s="61"/>
      <c r="G45" s="61"/>
      <c r="H45" s="61"/>
      <c r="I45" s="61"/>
      <c r="J45" s="61"/>
    </row>
    <row r="46" spans="1:10" x14ac:dyDescent="0.25">
      <c r="A46" s="61"/>
      <c r="B46" s="61"/>
      <c r="C46" s="61"/>
      <c r="D46" s="61" t="s">
        <v>549</v>
      </c>
      <c r="E46" s="61"/>
      <c r="F46" s="61"/>
      <c r="G46" s="61"/>
      <c r="H46" s="61"/>
      <c r="I46" s="61"/>
      <c r="J46" s="61"/>
    </row>
  </sheetData>
  <mergeCells count="3">
    <mergeCell ref="A1:B1"/>
    <mergeCell ref="D1:E1"/>
    <mergeCell ref="G1:H1"/>
  </mergeCells>
  <dataValidations count="1">
    <dataValidation type="list" allowBlank="1" showInputMessage="1" showErrorMessage="1" sqref="E3:E46 H3:H24 B3:B18" xr:uid="{280EFBF2-D4DD-42C1-B984-C60AB73ECA15}">
      <formula1>$L$2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1CB8-F589-4643-BE57-69BCE24710A2}">
  <sheetPr codeName="Sheet4"/>
  <dimension ref="A1:D299"/>
  <sheetViews>
    <sheetView topLeftCell="A100" workbookViewId="0">
      <selection activeCell="H14" sqref="H14"/>
    </sheetView>
  </sheetViews>
  <sheetFormatPr defaultRowHeight="15" x14ac:dyDescent="0.25"/>
  <cols>
    <col min="1" max="1" width="8.42578125" bestFit="1" customWidth="1"/>
    <col min="2" max="2" width="26.7109375" bestFit="1" customWidth="1"/>
    <col min="3" max="3" width="9.5703125" bestFit="1" customWidth="1"/>
  </cols>
  <sheetData>
    <row r="1" spans="1:4" x14ac:dyDescent="0.25">
      <c r="A1" t="s">
        <v>1</v>
      </c>
      <c r="B1" t="s">
        <v>75</v>
      </c>
      <c r="C1" t="s">
        <v>363</v>
      </c>
      <c r="D1" t="s">
        <v>463</v>
      </c>
    </row>
    <row r="2" spans="1:4" x14ac:dyDescent="0.25">
      <c r="A2" s="1">
        <v>46178</v>
      </c>
      <c r="B2" t="s">
        <v>423</v>
      </c>
      <c r="C2" t="s">
        <v>72</v>
      </c>
      <c r="D2" t="s">
        <v>162</v>
      </c>
    </row>
    <row r="3" spans="1:4" x14ac:dyDescent="0.25">
      <c r="A3" s="1">
        <v>46178</v>
      </c>
      <c r="B3" t="s">
        <v>352</v>
      </c>
      <c r="C3" t="s">
        <v>72</v>
      </c>
      <c r="D3" t="s">
        <v>162</v>
      </c>
    </row>
    <row r="4" spans="1:4" x14ac:dyDescent="0.25">
      <c r="A4" s="1">
        <v>46178</v>
      </c>
      <c r="B4" t="s">
        <v>212</v>
      </c>
      <c r="C4" t="s">
        <v>72</v>
      </c>
      <c r="D4" t="s">
        <v>162</v>
      </c>
    </row>
    <row r="5" spans="1:4" x14ac:dyDescent="0.25">
      <c r="A5" s="1">
        <v>46178</v>
      </c>
      <c r="B5" t="s">
        <v>213</v>
      </c>
      <c r="C5" t="s">
        <v>72</v>
      </c>
      <c r="D5" t="s">
        <v>162</v>
      </c>
    </row>
    <row r="6" spans="1:4" x14ac:dyDescent="0.25">
      <c r="A6" s="1">
        <v>46178</v>
      </c>
      <c r="B6" t="s">
        <v>563</v>
      </c>
      <c r="C6" t="s">
        <v>72</v>
      </c>
      <c r="D6" t="s">
        <v>162</v>
      </c>
    </row>
    <row r="7" spans="1:4" x14ac:dyDescent="0.25">
      <c r="A7" s="1">
        <v>46178</v>
      </c>
      <c r="B7" t="s">
        <v>271</v>
      </c>
      <c r="C7" t="s">
        <v>72</v>
      </c>
      <c r="D7" t="s">
        <v>162</v>
      </c>
    </row>
    <row r="8" spans="1:4" x14ac:dyDescent="0.25">
      <c r="A8" s="1">
        <v>46178</v>
      </c>
      <c r="B8" t="s">
        <v>282</v>
      </c>
      <c r="C8" t="s">
        <v>72</v>
      </c>
      <c r="D8" t="s">
        <v>163</v>
      </c>
    </row>
    <row r="9" spans="1:4" x14ac:dyDescent="0.25">
      <c r="A9" s="1">
        <v>46178</v>
      </c>
      <c r="B9" t="s">
        <v>452</v>
      </c>
      <c r="C9" t="s">
        <v>72</v>
      </c>
      <c r="D9" t="s">
        <v>163</v>
      </c>
    </row>
    <row r="10" spans="1:4" x14ac:dyDescent="0.25">
      <c r="A10" s="1">
        <v>46178</v>
      </c>
      <c r="B10" t="s">
        <v>448</v>
      </c>
      <c r="C10" t="s">
        <v>72</v>
      </c>
      <c r="D10" t="s">
        <v>163</v>
      </c>
    </row>
    <row r="11" spans="1:4" x14ac:dyDescent="0.25">
      <c r="A11" s="1">
        <v>46178</v>
      </c>
      <c r="B11" t="s">
        <v>251</v>
      </c>
      <c r="C11" t="s">
        <v>72</v>
      </c>
      <c r="D11" t="s">
        <v>163</v>
      </c>
    </row>
    <row r="12" spans="1:4" x14ac:dyDescent="0.25">
      <c r="A12" s="1">
        <v>46178</v>
      </c>
      <c r="B12" t="s">
        <v>562</v>
      </c>
      <c r="C12" t="s">
        <v>72</v>
      </c>
      <c r="D12" t="s">
        <v>163</v>
      </c>
    </row>
    <row r="13" spans="1:4" x14ac:dyDescent="0.25">
      <c r="A13" s="1">
        <v>46178</v>
      </c>
      <c r="B13" t="s">
        <v>561</v>
      </c>
      <c r="C13" t="s">
        <v>72</v>
      </c>
      <c r="D13" t="s">
        <v>354</v>
      </c>
    </row>
    <row r="14" spans="1:4" x14ac:dyDescent="0.25">
      <c r="A14" s="1">
        <v>46178</v>
      </c>
      <c r="B14" t="s">
        <v>404</v>
      </c>
      <c r="C14" t="s">
        <v>72</v>
      </c>
      <c r="D14" t="s">
        <v>354</v>
      </c>
    </row>
    <row r="15" spans="1:4" x14ac:dyDescent="0.25">
      <c r="A15" s="1">
        <v>46178</v>
      </c>
      <c r="B15" t="s">
        <v>431</v>
      </c>
      <c r="C15" t="s">
        <v>355</v>
      </c>
      <c r="D15" t="s">
        <v>354</v>
      </c>
    </row>
    <row r="16" spans="1:4" x14ac:dyDescent="0.25">
      <c r="A16" s="1">
        <v>46178</v>
      </c>
      <c r="B16" t="s">
        <v>196</v>
      </c>
      <c r="C16" t="s">
        <v>72</v>
      </c>
      <c r="D16" t="s">
        <v>354</v>
      </c>
    </row>
    <row r="17" spans="1:4" x14ac:dyDescent="0.25">
      <c r="A17" s="1">
        <v>46178</v>
      </c>
      <c r="B17" t="s">
        <v>266</v>
      </c>
      <c r="C17" t="s">
        <v>72</v>
      </c>
      <c r="D17" t="s">
        <v>354</v>
      </c>
    </row>
    <row r="18" spans="1:4" x14ac:dyDescent="0.25">
      <c r="A18" s="1">
        <v>46178</v>
      </c>
      <c r="B18" t="s">
        <v>405</v>
      </c>
      <c r="C18" t="s">
        <v>72</v>
      </c>
      <c r="D18" t="s">
        <v>354</v>
      </c>
    </row>
    <row r="19" spans="1:4" x14ac:dyDescent="0.25">
      <c r="A19" s="1">
        <v>46178</v>
      </c>
      <c r="B19" t="s">
        <v>434</v>
      </c>
      <c r="C19" t="s">
        <v>72</v>
      </c>
      <c r="D19" t="s">
        <v>354</v>
      </c>
    </row>
    <row r="20" spans="1:4" x14ac:dyDescent="0.25">
      <c r="A20" s="1">
        <v>46178</v>
      </c>
      <c r="B20" t="s">
        <v>395</v>
      </c>
      <c r="C20" t="s">
        <v>72</v>
      </c>
      <c r="D20" t="s">
        <v>354</v>
      </c>
    </row>
    <row r="21" spans="1:4" x14ac:dyDescent="0.25">
      <c r="A21" s="1">
        <v>46178</v>
      </c>
      <c r="B21" t="s">
        <v>415</v>
      </c>
      <c r="C21" t="s">
        <v>72</v>
      </c>
      <c r="D21" t="s">
        <v>354</v>
      </c>
    </row>
    <row r="22" spans="1:4" x14ac:dyDescent="0.25">
      <c r="A22" s="1">
        <v>46178</v>
      </c>
      <c r="B22" t="s">
        <v>284</v>
      </c>
      <c r="C22" t="s">
        <v>232</v>
      </c>
      <c r="D22" t="s">
        <v>354</v>
      </c>
    </row>
    <row r="23" spans="1:4" x14ac:dyDescent="0.25">
      <c r="A23" s="1">
        <v>46178</v>
      </c>
      <c r="B23" t="s">
        <v>286</v>
      </c>
      <c r="C23" t="s">
        <v>232</v>
      </c>
      <c r="D23" t="s">
        <v>354</v>
      </c>
    </row>
    <row r="24" spans="1:4" x14ac:dyDescent="0.25">
      <c r="A24" s="1">
        <v>46178</v>
      </c>
      <c r="B24" t="s">
        <v>287</v>
      </c>
      <c r="C24" t="s">
        <v>232</v>
      </c>
      <c r="D24" t="s">
        <v>354</v>
      </c>
    </row>
    <row r="25" spans="1:4" x14ac:dyDescent="0.25">
      <c r="A25" s="1">
        <v>46178</v>
      </c>
      <c r="B25" t="s">
        <v>288</v>
      </c>
      <c r="C25" t="s">
        <v>72</v>
      </c>
      <c r="D25" t="s">
        <v>354</v>
      </c>
    </row>
    <row r="26" spans="1:4" x14ac:dyDescent="0.25">
      <c r="A26" s="1">
        <v>46178</v>
      </c>
      <c r="B26" t="s">
        <v>223</v>
      </c>
      <c r="C26" t="s">
        <v>72</v>
      </c>
      <c r="D26" t="s">
        <v>354</v>
      </c>
    </row>
    <row r="27" spans="1:4" x14ac:dyDescent="0.25">
      <c r="A27" s="1">
        <v>46178</v>
      </c>
      <c r="B27" t="s">
        <v>290</v>
      </c>
      <c r="C27" t="s">
        <v>355</v>
      </c>
      <c r="D27" t="s">
        <v>354</v>
      </c>
    </row>
    <row r="28" spans="1:4" x14ac:dyDescent="0.25">
      <c r="A28" s="1">
        <v>46178</v>
      </c>
      <c r="B28" t="s">
        <v>428</v>
      </c>
      <c r="C28" t="s">
        <v>72</v>
      </c>
      <c r="D28" t="s">
        <v>354</v>
      </c>
    </row>
    <row r="29" spans="1:4" x14ac:dyDescent="0.25">
      <c r="A29" s="1">
        <v>46178</v>
      </c>
      <c r="B29" t="s">
        <v>227</v>
      </c>
      <c r="C29" t="s">
        <v>72</v>
      </c>
      <c r="D29" t="s">
        <v>354</v>
      </c>
    </row>
    <row r="30" spans="1:4" x14ac:dyDescent="0.25">
      <c r="A30" s="1">
        <v>46178</v>
      </c>
      <c r="B30" t="s">
        <v>419</v>
      </c>
      <c r="C30" t="s">
        <v>72</v>
      </c>
      <c r="D30" t="s">
        <v>354</v>
      </c>
    </row>
    <row r="31" spans="1:4" x14ac:dyDescent="0.25">
      <c r="A31" s="1">
        <v>46178</v>
      </c>
      <c r="B31" t="s">
        <v>295</v>
      </c>
      <c r="C31" t="s">
        <v>72</v>
      </c>
      <c r="D31" t="s">
        <v>354</v>
      </c>
    </row>
    <row r="32" spans="1:4" x14ac:dyDescent="0.25">
      <c r="A32" s="1">
        <v>46178</v>
      </c>
      <c r="B32" t="s">
        <v>399</v>
      </c>
      <c r="C32" t="s">
        <v>72</v>
      </c>
      <c r="D32" t="s">
        <v>354</v>
      </c>
    </row>
    <row r="33" spans="1:4" x14ac:dyDescent="0.25">
      <c r="A33" s="1">
        <v>46178</v>
      </c>
      <c r="B33" t="s">
        <v>237</v>
      </c>
      <c r="C33" t="s">
        <v>72</v>
      </c>
      <c r="D33" t="s">
        <v>354</v>
      </c>
    </row>
    <row r="34" spans="1:4" x14ac:dyDescent="0.25">
      <c r="A34" s="1">
        <v>46178</v>
      </c>
      <c r="B34" t="s">
        <v>406</v>
      </c>
      <c r="C34" t="s">
        <v>72</v>
      </c>
      <c r="D34" t="s">
        <v>354</v>
      </c>
    </row>
    <row r="35" spans="1:4" x14ac:dyDescent="0.25">
      <c r="A35" s="1">
        <v>46178</v>
      </c>
      <c r="B35" t="s">
        <v>304</v>
      </c>
      <c r="C35" t="s">
        <v>355</v>
      </c>
      <c r="D35" t="s">
        <v>354</v>
      </c>
    </row>
    <row r="36" spans="1:4" x14ac:dyDescent="0.25">
      <c r="A36" s="1">
        <v>46178</v>
      </c>
      <c r="B36" t="s">
        <v>409</v>
      </c>
      <c r="C36" t="s">
        <v>72</v>
      </c>
      <c r="D36" t="s">
        <v>354</v>
      </c>
    </row>
    <row r="37" spans="1:4" x14ac:dyDescent="0.25">
      <c r="A37" s="1">
        <v>46178</v>
      </c>
      <c r="B37" t="s">
        <v>306</v>
      </c>
      <c r="C37" t="s">
        <v>72</v>
      </c>
      <c r="D37" t="s">
        <v>354</v>
      </c>
    </row>
    <row r="38" spans="1:4" x14ac:dyDescent="0.25">
      <c r="A38" s="1">
        <v>46178</v>
      </c>
      <c r="B38" t="s">
        <v>426</v>
      </c>
      <c r="C38" t="s">
        <v>72</v>
      </c>
      <c r="D38" t="s">
        <v>354</v>
      </c>
    </row>
    <row r="39" spans="1:4" x14ac:dyDescent="0.25">
      <c r="A39" s="1">
        <v>46178</v>
      </c>
      <c r="B39" t="s">
        <v>312</v>
      </c>
      <c r="C39" t="s">
        <v>72</v>
      </c>
      <c r="D39" t="s">
        <v>354</v>
      </c>
    </row>
    <row r="40" spans="1:4" x14ac:dyDescent="0.25">
      <c r="A40" s="1">
        <v>46178</v>
      </c>
      <c r="B40" t="s">
        <v>243</v>
      </c>
      <c r="C40" t="s">
        <v>72</v>
      </c>
      <c r="D40" t="s">
        <v>354</v>
      </c>
    </row>
    <row r="41" spans="1:4" x14ac:dyDescent="0.25">
      <c r="A41" s="1">
        <v>46178</v>
      </c>
      <c r="B41" t="s">
        <v>316</v>
      </c>
      <c r="C41" t="s">
        <v>232</v>
      </c>
      <c r="D41" t="s">
        <v>354</v>
      </c>
    </row>
    <row r="42" spans="1:4" x14ac:dyDescent="0.25">
      <c r="A42" s="1">
        <v>46178</v>
      </c>
      <c r="B42" t="s">
        <v>317</v>
      </c>
      <c r="C42" t="s">
        <v>72</v>
      </c>
      <c r="D42" t="s">
        <v>354</v>
      </c>
    </row>
    <row r="43" spans="1:4" x14ac:dyDescent="0.25">
      <c r="A43" s="1">
        <v>46178</v>
      </c>
      <c r="B43" t="s">
        <v>318</v>
      </c>
      <c r="C43" t="s">
        <v>232</v>
      </c>
      <c r="D43" t="s">
        <v>354</v>
      </c>
    </row>
    <row r="44" spans="1:4" x14ac:dyDescent="0.25">
      <c r="A44" s="1">
        <v>46178</v>
      </c>
      <c r="B44" t="s">
        <v>321</v>
      </c>
      <c r="C44" t="s">
        <v>355</v>
      </c>
      <c r="D44" t="s">
        <v>354</v>
      </c>
    </row>
    <row r="45" spans="1:4" x14ac:dyDescent="0.25">
      <c r="A45" s="1">
        <v>46178</v>
      </c>
      <c r="B45" t="s">
        <v>444</v>
      </c>
      <c r="C45" t="s">
        <v>232</v>
      </c>
      <c r="D45" t="s">
        <v>354</v>
      </c>
    </row>
    <row r="46" spans="1:4" x14ac:dyDescent="0.25">
      <c r="A46" s="1">
        <v>46178</v>
      </c>
      <c r="B46" t="s">
        <v>246</v>
      </c>
      <c r="C46" t="s">
        <v>232</v>
      </c>
      <c r="D46" t="s">
        <v>354</v>
      </c>
    </row>
    <row r="47" spans="1:4" x14ac:dyDescent="0.25">
      <c r="A47" s="1">
        <v>46178</v>
      </c>
      <c r="B47" t="s">
        <v>248</v>
      </c>
      <c r="C47" t="s">
        <v>72</v>
      </c>
      <c r="D47" t="s">
        <v>354</v>
      </c>
    </row>
    <row r="48" spans="1:4" x14ac:dyDescent="0.25">
      <c r="A48" s="1">
        <v>46178</v>
      </c>
      <c r="B48" t="s">
        <v>410</v>
      </c>
      <c r="C48" t="s">
        <v>72</v>
      </c>
      <c r="D48" t="s">
        <v>354</v>
      </c>
    </row>
    <row r="49" spans="1:4" x14ac:dyDescent="0.25">
      <c r="A49" s="1">
        <v>46178</v>
      </c>
      <c r="B49" t="s">
        <v>252</v>
      </c>
      <c r="C49" t="s">
        <v>72</v>
      </c>
      <c r="D49" t="s">
        <v>354</v>
      </c>
    </row>
    <row r="50" spans="1:4" x14ac:dyDescent="0.25">
      <c r="A50" s="1">
        <v>46178</v>
      </c>
      <c r="B50" t="s">
        <v>455</v>
      </c>
      <c r="C50" t="s">
        <v>72</v>
      </c>
      <c r="D50" t="s">
        <v>354</v>
      </c>
    </row>
    <row r="51" spans="1:4" x14ac:dyDescent="0.25">
      <c r="A51" s="1">
        <v>46178</v>
      </c>
      <c r="B51" t="s">
        <v>253</v>
      </c>
      <c r="C51" t="s">
        <v>355</v>
      </c>
      <c r="D51" t="s">
        <v>354</v>
      </c>
    </row>
    <row r="52" spans="1:4" x14ac:dyDescent="0.25">
      <c r="A52" s="1">
        <v>46178</v>
      </c>
      <c r="B52" t="s">
        <v>450</v>
      </c>
      <c r="C52" t="s">
        <v>232</v>
      </c>
      <c r="D52" t="s">
        <v>354</v>
      </c>
    </row>
    <row r="53" spans="1:4" x14ac:dyDescent="0.25">
      <c r="A53" s="1">
        <v>46178</v>
      </c>
      <c r="B53" t="s">
        <v>337</v>
      </c>
      <c r="C53" t="s">
        <v>355</v>
      </c>
      <c r="D53" t="s">
        <v>354</v>
      </c>
    </row>
    <row r="54" spans="1:4" x14ac:dyDescent="0.25">
      <c r="A54" s="1">
        <v>46178</v>
      </c>
      <c r="B54" t="s">
        <v>280</v>
      </c>
      <c r="C54" t="s">
        <v>72</v>
      </c>
      <c r="D54" t="s">
        <v>222</v>
      </c>
    </row>
    <row r="55" spans="1:4" x14ac:dyDescent="0.25">
      <c r="A55" s="1">
        <v>46178</v>
      </c>
      <c r="B55" t="s">
        <v>259</v>
      </c>
      <c r="C55" t="s">
        <v>72</v>
      </c>
      <c r="D55" t="s">
        <v>222</v>
      </c>
    </row>
    <row r="56" spans="1:4" x14ac:dyDescent="0.25">
      <c r="A56" s="1">
        <v>46178</v>
      </c>
      <c r="B56" t="s">
        <v>401</v>
      </c>
      <c r="C56" t="s">
        <v>72</v>
      </c>
      <c r="D56" t="s">
        <v>222</v>
      </c>
    </row>
    <row r="57" spans="1:4" x14ac:dyDescent="0.25">
      <c r="A57" s="1">
        <v>46178</v>
      </c>
      <c r="B57" t="s">
        <v>346</v>
      </c>
      <c r="C57" t="s">
        <v>72</v>
      </c>
      <c r="D57" t="s">
        <v>222</v>
      </c>
    </row>
    <row r="58" spans="1:4" x14ac:dyDescent="0.25">
      <c r="A58" s="1">
        <v>46178</v>
      </c>
      <c r="B58" t="s">
        <v>313</v>
      </c>
      <c r="C58" t="s">
        <v>72</v>
      </c>
      <c r="D58" t="s">
        <v>222</v>
      </c>
    </row>
    <row r="59" spans="1:4" x14ac:dyDescent="0.25">
      <c r="A59" s="1">
        <v>46178</v>
      </c>
      <c r="B59" t="s">
        <v>564</v>
      </c>
      <c r="C59" t="s">
        <v>73</v>
      </c>
      <c r="D59" t="s">
        <v>162</v>
      </c>
    </row>
    <row r="60" spans="1:4" x14ac:dyDescent="0.25">
      <c r="A60" s="1">
        <v>46178</v>
      </c>
      <c r="B60" t="s">
        <v>435</v>
      </c>
      <c r="C60" t="s">
        <v>73</v>
      </c>
      <c r="D60" t="s">
        <v>162</v>
      </c>
    </row>
    <row r="61" spans="1:4" x14ac:dyDescent="0.25">
      <c r="A61" s="1">
        <v>46178</v>
      </c>
      <c r="B61" t="s">
        <v>207</v>
      </c>
      <c r="C61" t="s">
        <v>73</v>
      </c>
      <c r="D61" t="s">
        <v>162</v>
      </c>
    </row>
    <row r="62" spans="1:4" x14ac:dyDescent="0.25">
      <c r="A62" s="1">
        <v>46178</v>
      </c>
      <c r="B62" t="s">
        <v>228</v>
      </c>
      <c r="C62" t="s">
        <v>73</v>
      </c>
      <c r="D62" t="s">
        <v>162</v>
      </c>
    </row>
    <row r="63" spans="1:4" x14ac:dyDescent="0.25">
      <c r="A63" s="1">
        <v>46178</v>
      </c>
      <c r="B63" t="s">
        <v>414</v>
      </c>
      <c r="C63" t="s">
        <v>73</v>
      </c>
      <c r="D63" t="s">
        <v>162</v>
      </c>
    </row>
    <row r="64" spans="1:4" x14ac:dyDescent="0.25">
      <c r="A64" s="1">
        <v>46178</v>
      </c>
      <c r="B64" t="s">
        <v>402</v>
      </c>
      <c r="C64" t="s">
        <v>73</v>
      </c>
      <c r="D64" t="s">
        <v>162</v>
      </c>
    </row>
    <row r="65" spans="1:4" x14ac:dyDescent="0.25">
      <c r="A65" s="1">
        <v>46178</v>
      </c>
      <c r="B65" t="s">
        <v>425</v>
      </c>
      <c r="C65" t="s">
        <v>73</v>
      </c>
      <c r="D65" t="s">
        <v>163</v>
      </c>
    </row>
    <row r="66" spans="1:4" x14ac:dyDescent="0.25">
      <c r="A66" s="1">
        <v>46178</v>
      </c>
      <c r="B66" t="s">
        <v>307</v>
      </c>
      <c r="C66" t="s">
        <v>73</v>
      </c>
      <c r="D66" t="s">
        <v>163</v>
      </c>
    </row>
    <row r="67" spans="1:4" x14ac:dyDescent="0.25">
      <c r="A67" s="1">
        <v>46178</v>
      </c>
      <c r="B67" t="s">
        <v>269</v>
      </c>
      <c r="C67" t="s">
        <v>73</v>
      </c>
      <c r="D67" t="s">
        <v>163</v>
      </c>
    </row>
    <row r="68" spans="1:4" x14ac:dyDescent="0.25">
      <c r="A68" s="1">
        <v>46178</v>
      </c>
      <c r="B68" t="s">
        <v>268</v>
      </c>
      <c r="C68" t="s">
        <v>73</v>
      </c>
      <c r="D68" t="s">
        <v>163</v>
      </c>
    </row>
    <row r="69" spans="1:4" x14ac:dyDescent="0.25">
      <c r="A69" s="1">
        <v>46178</v>
      </c>
      <c r="B69" t="s">
        <v>565</v>
      </c>
      <c r="C69" t="s">
        <v>73</v>
      </c>
      <c r="D69" t="s">
        <v>163</v>
      </c>
    </row>
    <row r="70" spans="1:4" x14ac:dyDescent="0.25">
      <c r="A70" s="1">
        <v>46178</v>
      </c>
      <c r="B70" t="s">
        <v>407</v>
      </c>
      <c r="C70" t="s">
        <v>73</v>
      </c>
      <c r="D70" t="s">
        <v>354</v>
      </c>
    </row>
    <row r="71" spans="1:4" x14ac:dyDescent="0.25">
      <c r="A71" s="1">
        <v>46178</v>
      </c>
      <c r="B71" t="s">
        <v>436</v>
      </c>
      <c r="C71" t="s">
        <v>73</v>
      </c>
      <c r="D71" t="s">
        <v>354</v>
      </c>
    </row>
    <row r="72" spans="1:4" x14ac:dyDescent="0.25">
      <c r="A72" s="1">
        <v>46178</v>
      </c>
      <c r="B72" t="s">
        <v>351</v>
      </c>
      <c r="C72" t="s">
        <v>73</v>
      </c>
      <c r="D72" t="s">
        <v>354</v>
      </c>
    </row>
    <row r="73" spans="1:4" x14ac:dyDescent="0.25">
      <c r="A73" s="1">
        <v>46178</v>
      </c>
      <c r="B73" t="s">
        <v>283</v>
      </c>
      <c r="C73" t="s">
        <v>73</v>
      </c>
      <c r="D73" t="s">
        <v>354</v>
      </c>
    </row>
    <row r="74" spans="1:4" x14ac:dyDescent="0.25">
      <c r="A74" s="1">
        <v>46178</v>
      </c>
      <c r="B74" t="s">
        <v>217</v>
      </c>
      <c r="C74" t="s">
        <v>73</v>
      </c>
      <c r="D74" t="s">
        <v>354</v>
      </c>
    </row>
    <row r="75" spans="1:4" x14ac:dyDescent="0.25">
      <c r="A75" s="1">
        <v>46178</v>
      </c>
      <c r="B75" t="s">
        <v>221</v>
      </c>
      <c r="C75" t="s">
        <v>73</v>
      </c>
      <c r="D75" t="s">
        <v>354</v>
      </c>
    </row>
    <row r="76" spans="1:4" x14ac:dyDescent="0.25">
      <c r="A76" s="1">
        <v>46178</v>
      </c>
      <c r="B76" t="s">
        <v>224</v>
      </c>
      <c r="C76" t="s">
        <v>73</v>
      </c>
      <c r="D76" t="s">
        <v>354</v>
      </c>
    </row>
    <row r="77" spans="1:4" x14ac:dyDescent="0.25">
      <c r="A77" s="1">
        <v>46178</v>
      </c>
      <c r="B77" t="s">
        <v>233</v>
      </c>
      <c r="C77" t="s">
        <v>73</v>
      </c>
      <c r="D77" t="s">
        <v>354</v>
      </c>
    </row>
    <row r="78" spans="1:4" x14ac:dyDescent="0.25">
      <c r="A78" s="1">
        <v>46178</v>
      </c>
      <c r="B78" t="s">
        <v>234</v>
      </c>
      <c r="C78" t="s">
        <v>73</v>
      </c>
      <c r="D78" t="s">
        <v>354</v>
      </c>
    </row>
    <row r="79" spans="1:4" x14ac:dyDescent="0.25">
      <c r="A79" s="1">
        <v>46178</v>
      </c>
      <c r="B79" t="s">
        <v>442</v>
      </c>
      <c r="C79" t="s">
        <v>73</v>
      </c>
      <c r="D79" t="s">
        <v>354</v>
      </c>
    </row>
    <row r="80" spans="1:4" x14ac:dyDescent="0.25">
      <c r="A80" s="1">
        <v>46178</v>
      </c>
      <c r="B80" t="s">
        <v>350</v>
      </c>
      <c r="C80" t="s">
        <v>73</v>
      </c>
      <c r="D80" t="s">
        <v>354</v>
      </c>
    </row>
    <row r="81" spans="1:4" x14ac:dyDescent="0.25">
      <c r="A81" s="1">
        <v>46178</v>
      </c>
      <c r="B81" t="s">
        <v>305</v>
      </c>
      <c r="C81" t="s">
        <v>73</v>
      </c>
      <c r="D81" t="s">
        <v>354</v>
      </c>
    </row>
    <row r="82" spans="1:4" x14ac:dyDescent="0.25">
      <c r="A82" s="1">
        <v>46178</v>
      </c>
      <c r="B82" t="s">
        <v>343</v>
      </c>
      <c r="C82" t="s">
        <v>73</v>
      </c>
      <c r="D82" t="s">
        <v>354</v>
      </c>
    </row>
    <row r="83" spans="1:4" x14ac:dyDescent="0.25">
      <c r="A83" s="1">
        <v>46178</v>
      </c>
      <c r="B83" t="s">
        <v>239</v>
      </c>
      <c r="C83" t="s">
        <v>73</v>
      </c>
      <c r="D83" t="s">
        <v>354</v>
      </c>
    </row>
    <row r="84" spans="1:4" x14ac:dyDescent="0.25">
      <c r="A84" s="1">
        <v>46178</v>
      </c>
      <c r="B84" t="s">
        <v>456</v>
      </c>
      <c r="C84" t="s">
        <v>73</v>
      </c>
      <c r="D84" t="s">
        <v>354</v>
      </c>
    </row>
    <row r="85" spans="1:4" x14ac:dyDescent="0.25">
      <c r="A85" s="1">
        <v>46178</v>
      </c>
      <c r="B85" t="s">
        <v>427</v>
      </c>
      <c r="C85" t="s">
        <v>73</v>
      </c>
      <c r="D85" t="s">
        <v>354</v>
      </c>
    </row>
    <row r="86" spans="1:4" x14ac:dyDescent="0.25">
      <c r="A86" s="1">
        <v>46178</v>
      </c>
      <c r="B86" t="s">
        <v>247</v>
      </c>
      <c r="C86" t="s">
        <v>73</v>
      </c>
      <c r="D86" t="s">
        <v>354</v>
      </c>
    </row>
    <row r="87" spans="1:4" x14ac:dyDescent="0.25">
      <c r="A87" s="1">
        <v>46178</v>
      </c>
      <c r="B87" t="s">
        <v>446</v>
      </c>
      <c r="C87" t="s">
        <v>73</v>
      </c>
      <c r="D87" t="s">
        <v>354</v>
      </c>
    </row>
    <row r="88" spans="1:4" x14ac:dyDescent="0.25">
      <c r="A88" s="1">
        <v>46178</v>
      </c>
      <c r="B88" t="s">
        <v>422</v>
      </c>
      <c r="C88" t="s">
        <v>73</v>
      </c>
      <c r="D88" t="s">
        <v>354</v>
      </c>
    </row>
    <row r="89" spans="1:4" x14ac:dyDescent="0.25">
      <c r="A89" s="1">
        <v>46178</v>
      </c>
      <c r="B89" t="s">
        <v>447</v>
      </c>
      <c r="C89" t="s">
        <v>73</v>
      </c>
      <c r="D89" t="s">
        <v>354</v>
      </c>
    </row>
    <row r="90" spans="1:4" x14ac:dyDescent="0.25">
      <c r="A90" s="1">
        <v>46178</v>
      </c>
      <c r="B90" t="s">
        <v>458</v>
      </c>
      <c r="C90" t="s">
        <v>73</v>
      </c>
      <c r="D90" t="s">
        <v>354</v>
      </c>
    </row>
    <row r="91" spans="1:4" x14ac:dyDescent="0.25">
      <c r="A91" s="1">
        <v>46178</v>
      </c>
      <c r="B91" t="s">
        <v>567</v>
      </c>
      <c r="C91" t="s">
        <v>73</v>
      </c>
      <c r="D91" t="s">
        <v>354</v>
      </c>
    </row>
    <row r="92" spans="1:4" x14ac:dyDescent="0.25">
      <c r="A92" s="1">
        <v>46178</v>
      </c>
      <c r="B92" t="s">
        <v>257</v>
      </c>
      <c r="C92" t="s">
        <v>73</v>
      </c>
      <c r="D92" t="s">
        <v>354</v>
      </c>
    </row>
    <row r="93" spans="1:4" x14ac:dyDescent="0.25">
      <c r="A93" s="1">
        <v>46178</v>
      </c>
      <c r="B93" t="s">
        <v>439</v>
      </c>
      <c r="C93" t="s">
        <v>73</v>
      </c>
      <c r="D93" t="s">
        <v>222</v>
      </c>
    </row>
    <row r="94" spans="1:4" x14ac:dyDescent="0.25">
      <c r="A94" s="1">
        <v>46178</v>
      </c>
      <c r="B94" t="s">
        <v>226</v>
      </c>
      <c r="C94" t="s">
        <v>73</v>
      </c>
      <c r="D94" t="s">
        <v>222</v>
      </c>
    </row>
    <row r="95" spans="1:4" x14ac:dyDescent="0.25">
      <c r="A95" s="1">
        <v>46178</v>
      </c>
      <c r="B95" t="s">
        <v>420</v>
      </c>
      <c r="C95" t="s">
        <v>73</v>
      </c>
      <c r="D95" t="s">
        <v>222</v>
      </c>
    </row>
    <row r="96" spans="1:4" x14ac:dyDescent="0.25">
      <c r="A96" s="1">
        <v>46178</v>
      </c>
      <c r="B96" t="s">
        <v>443</v>
      </c>
      <c r="C96" t="s">
        <v>73</v>
      </c>
      <c r="D96" t="s">
        <v>222</v>
      </c>
    </row>
    <row r="97" spans="1:4" x14ac:dyDescent="0.25">
      <c r="A97" s="1">
        <v>46178</v>
      </c>
      <c r="B97" t="s">
        <v>311</v>
      </c>
      <c r="C97" t="s">
        <v>73</v>
      </c>
      <c r="D97" t="s">
        <v>222</v>
      </c>
    </row>
    <row r="98" spans="1:4" x14ac:dyDescent="0.25">
      <c r="A98" s="1">
        <v>46178</v>
      </c>
      <c r="B98" t="s">
        <v>334</v>
      </c>
      <c r="C98" t="s">
        <v>72</v>
      </c>
      <c r="D98" t="s">
        <v>356</v>
      </c>
    </row>
    <row r="99" spans="1:4" x14ac:dyDescent="0.25">
      <c r="A99" s="1">
        <v>46178</v>
      </c>
      <c r="B99" t="s">
        <v>330</v>
      </c>
      <c r="C99" t="s">
        <v>72</v>
      </c>
      <c r="D99" t="s">
        <v>357</v>
      </c>
    </row>
    <row r="100" spans="1:4" x14ac:dyDescent="0.25">
      <c r="A100" s="1">
        <v>46178</v>
      </c>
      <c r="B100" t="s">
        <v>279</v>
      </c>
      <c r="C100" t="s">
        <v>72</v>
      </c>
      <c r="D100" t="s">
        <v>358</v>
      </c>
    </row>
    <row r="101" spans="1:4" x14ac:dyDescent="0.25">
      <c r="A101" s="1">
        <v>46178</v>
      </c>
      <c r="B101" t="s">
        <v>200</v>
      </c>
      <c r="C101" t="s">
        <v>72</v>
      </c>
      <c r="D101" t="s">
        <v>358</v>
      </c>
    </row>
    <row r="102" spans="1:4" x14ac:dyDescent="0.25">
      <c r="A102" s="1">
        <v>46178</v>
      </c>
      <c r="B102" t="s">
        <v>437</v>
      </c>
      <c r="C102" t="s">
        <v>72</v>
      </c>
      <c r="D102" t="s">
        <v>358</v>
      </c>
    </row>
    <row r="103" spans="1:4" x14ac:dyDescent="0.25">
      <c r="A103" s="1">
        <v>46178</v>
      </c>
      <c r="B103" t="s">
        <v>440</v>
      </c>
      <c r="C103" t="s">
        <v>72</v>
      </c>
      <c r="D103" t="s">
        <v>358</v>
      </c>
    </row>
    <row r="104" spans="1:4" x14ac:dyDescent="0.25">
      <c r="A104" s="1">
        <v>46178</v>
      </c>
      <c r="B104" t="s">
        <v>421</v>
      </c>
      <c r="C104" t="s">
        <v>72</v>
      </c>
      <c r="D104" t="s">
        <v>358</v>
      </c>
    </row>
    <row r="105" spans="1:4" x14ac:dyDescent="0.25">
      <c r="A105" s="1">
        <v>46178</v>
      </c>
      <c r="B105" t="s">
        <v>235</v>
      </c>
      <c r="C105" t="s">
        <v>72</v>
      </c>
      <c r="D105" t="s">
        <v>358</v>
      </c>
    </row>
    <row r="106" spans="1:4" x14ac:dyDescent="0.25">
      <c r="A106" s="1">
        <v>46178</v>
      </c>
      <c r="B106" t="s">
        <v>236</v>
      </c>
      <c r="C106" t="s">
        <v>72</v>
      </c>
      <c r="D106" t="s">
        <v>358</v>
      </c>
    </row>
    <row r="107" spans="1:4" x14ac:dyDescent="0.25">
      <c r="A107" s="1">
        <v>46178</v>
      </c>
      <c r="B107" t="s">
        <v>323</v>
      </c>
      <c r="C107" t="s">
        <v>72</v>
      </c>
      <c r="D107" t="s">
        <v>358</v>
      </c>
    </row>
    <row r="108" spans="1:4" x14ac:dyDescent="0.25">
      <c r="A108" s="1">
        <v>46178</v>
      </c>
      <c r="B108" t="s">
        <v>249</v>
      </c>
      <c r="C108" t="s">
        <v>72</v>
      </c>
      <c r="D108" t="s">
        <v>358</v>
      </c>
    </row>
    <row r="109" spans="1:4" x14ac:dyDescent="0.25">
      <c r="A109" s="1">
        <v>46178</v>
      </c>
      <c r="B109" t="s">
        <v>327</v>
      </c>
      <c r="C109" t="s">
        <v>72</v>
      </c>
      <c r="D109" t="s">
        <v>358</v>
      </c>
    </row>
    <row r="110" spans="1:4" x14ac:dyDescent="0.25">
      <c r="A110" s="1">
        <v>46178</v>
      </c>
      <c r="B110" t="s">
        <v>412</v>
      </c>
      <c r="C110" t="s">
        <v>72</v>
      </c>
      <c r="D110" t="s">
        <v>359</v>
      </c>
    </row>
    <row r="111" spans="1:4" x14ac:dyDescent="0.25">
      <c r="A111" s="1">
        <v>46178</v>
      </c>
      <c r="B111" t="s">
        <v>281</v>
      </c>
      <c r="C111" t="s">
        <v>355</v>
      </c>
      <c r="D111" t="s">
        <v>359</v>
      </c>
    </row>
    <row r="112" spans="1:4" x14ac:dyDescent="0.25">
      <c r="A112" s="1">
        <v>46178</v>
      </c>
      <c r="B112" t="s">
        <v>340</v>
      </c>
      <c r="C112" t="s">
        <v>72</v>
      </c>
      <c r="D112" t="s">
        <v>359</v>
      </c>
    </row>
    <row r="113" spans="1:4" x14ac:dyDescent="0.25">
      <c r="A113" s="1">
        <v>46178</v>
      </c>
      <c r="B113" t="s">
        <v>438</v>
      </c>
      <c r="C113" t="s">
        <v>72</v>
      </c>
      <c r="D113" t="s">
        <v>359</v>
      </c>
    </row>
    <row r="114" spans="1:4" x14ac:dyDescent="0.25">
      <c r="A114" s="1">
        <v>46178</v>
      </c>
      <c r="B114" t="s">
        <v>218</v>
      </c>
      <c r="C114" t="s">
        <v>355</v>
      </c>
      <c r="D114" t="s">
        <v>359</v>
      </c>
    </row>
    <row r="115" spans="1:4" x14ac:dyDescent="0.25">
      <c r="A115" s="1">
        <v>46178</v>
      </c>
      <c r="B115" t="s">
        <v>397</v>
      </c>
      <c r="C115" t="s">
        <v>72</v>
      </c>
      <c r="D115" t="s">
        <v>359</v>
      </c>
    </row>
    <row r="116" spans="1:4" x14ac:dyDescent="0.25">
      <c r="A116" s="1">
        <v>46178</v>
      </c>
      <c r="B116" t="s">
        <v>300</v>
      </c>
      <c r="C116" t="s">
        <v>72</v>
      </c>
      <c r="D116" t="s">
        <v>359</v>
      </c>
    </row>
    <row r="117" spans="1:4" x14ac:dyDescent="0.25">
      <c r="A117" s="1">
        <v>46178</v>
      </c>
      <c r="B117" t="s">
        <v>308</v>
      </c>
      <c r="C117" t="s">
        <v>72</v>
      </c>
      <c r="D117" t="s">
        <v>359</v>
      </c>
    </row>
    <row r="118" spans="1:4" x14ac:dyDescent="0.25">
      <c r="A118" s="1">
        <v>46178</v>
      </c>
      <c r="B118" t="s">
        <v>309</v>
      </c>
      <c r="C118" t="s">
        <v>72</v>
      </c>
      <c r="D118" t="s">
        <v>359</v>
      </c>
    </row>
    <row r="119" spans="1:4" x14ac:dyDescent="0.25">
      <c r="A119" s="1">
        <v>46178</v>
      </c>
      <c r="B119" t="s">
        <v>416</v>
      </c>
      <c r="C119" t="s">
        <v>72</v>
      </c>
      <c r="D119" t="s">
        <v>359</v>
      </c>
    </row>
    <row r="120" spans="1:4" x14ac:dyDescent="0.25">
      <c r="A120" s="1">
        <v>46178</v>
      </c>
      <c r="B120" t="s">
        <v>325</v>
      </c>
      <c r="C120" t="s">
        <v>72</v>
      </c>
      <c r="D120" t="s">
        <v>359</v>
      </c>
    </row>
    <row r="121" spans="1:4" x14ac:dyDescent="0.25">
      <c r="A121" s="1">
        <v>46178</v>
      </c>
      <c r="B121" t="s">
        <v>250</v>
      </c>
      <c r="C121" t="s">
        <v>72</v>
      </c>
      <c r="D121" t="s">
        <v>359</v>
      </c>
    </row>
    <row r="122" spans="1:4" x14ac:dyDescent="0.25">
      <c r="A122" s="1">
        <v>46178</v>
      </c>
      <c r="B122" t="s">
        <v>331</v>
      </c>
      <c r="C122" t="s">
        <v>72</v>
      </c>
      <c r="D122" t="s">
        <v>359</v>
      </c>
    </row>
    <row r="123" spans="1:4" x14ac:dyDescent="0.25">
      <c r="A123" s="1">
        <v>46178</v>
      </c>
      <c r="B123" t="s">
        <v>336</v>
      </c>
      <c r="C123" t="s">
        <v>72</v>
      </c>
      <c r="D123" t="s">
        <v>359</v>
      </c>
    </row>
    <row r="124" spans="1:4" x14ac:dyDescent="0.25">
      <c r="A124" s="1">
        <v>46178</v>
      </c>
      <c r="B124" t="s">
        <v>451</v>
      </c>
      <c r="C124" t="s">
        <v>72</v>
      </c>
      <c r="D124" t="s">
        <v>359</v>
      </c>
    </row>
    <row r="125" spans="1:4" x14ac:dyDescent="0.25">
      <c r="A125" s="1">
        <v>46178</v>
      </c>
      <c r="B125" t="s">
        <v>344</v>
      </c>
      <c r="C125" t="s">
        <v>73</v>
      </c>
      <c r="D125" t="s">
        <v>356</v>
      </c>
    </row>
    <row r="126" spans="1:4" x14ac:dyDescent="0.25">
      <c r="A126" s="1">
        <v>46178</v>
      </c>
      <c r="B126" t="s">
        <v>238</v>
      </c>
      <c r="C126" t="s">
        <v>73</v>
      </c>
      <c r="D126" t="s">
        <v>357</v>
      </c>
    </row>
    <row r="127" spans="1:4" x14ac:dyDescent="0.25">
      <c r="A127" s="1">
        <v>46178</v>
      </c>
      <c r="B127" t="s">
        <v>169</v>
      </c>
      <c r="C127" t="s">
        <v>73</v>
      </c>
      <c r="D127" t="s">
        <v>358</v>
      </c>
    </row>
    <row r="128" spans="1:4" x14ac:dyDescent="0.25">
      <c r="A128" s="1">
        <v>46178</v>
      </c>
      <c r="B128" t="s">
        <v>277</v>
      </c>
      <c r="C128" t="s">
        <v>73</v>
      </c>
      <c r="D128" t="s">
        <v>358</v>
      </c>
    </row>
    <row r="129" spans="1:4" x14ac:dyDescent="0.25">
      <c r="A129" s="1">
        <v>46178</v>
      </c>
      <c r="B129" t="s">
        <v>229</v>
      </c>
      <c r="C129" t="s">
        <v>73</v>
      </c>
      <c r="D129" t="s">
        <v>358</v>
      </c>
    </row>
    <row r="130" spans="1:4" x14ac:dyDescent="0.25">
      <c r="A130" s="1">
        <v>46178</v>
      </c>
      <c r="B130" t="s">
        <v>339</v>
      </c>
      <c r="C130" t="s">
        <v>73</v>
      </c>
      <c r="D130" t="s">
        <v>358</v>
      </c>
    </row>
    <row r="131" spans="1:4" x14ac:dyDescent="0.25">
      <c r="A131" s="1">
        <v>46178</v>
      </c>
      <c r="B131" t="s">
        <v>297</v>
      </c>
      <c r="C131" t="s">
        <v>73</v>
      </c>
      <c r="D131" t="s">
        <v>358</v>
      </c>
    </row>
    <row r="132" spans="1:4" x14ac:dyDescent="0.25">
      <c r="A132" s="1">
        <v>46178</v>
      </c>
      <c r="B132" t="s">
        <v>230</v>
      </c>
      <c r="C132" t="s">
        <v>73</v>
      </c>
      <c r="D132" t="s">
        <v>358</v>
      </c>
    </row>
    <row r="133" spans="1:4" x14ac:dyDescent="0.25">
      <c r="A133" s="1">
        <v>46178</v>
      </c>
      <c r="B133" t="s">
        <v>299</v>
      </c>
      <c r="C133" t="s">
        <v>73</v>
      </c>
      <c r="D133" t="s">
        <v>358</v>
      </c>
    </row>
    <row r="134" spans="1:4" x14ac:dyDescent="0.25">
      <c r="A134" s="1">
        <v>46178</v>
      </c>
      <c r="B134" t="s">
        <v>413</v>
      </c>
      <c r="C134" t="s">
        <v>73</v>
      </c>
      <c r="D134" t="s">
        <v>358</v>
      </c>
    </row>
    <row r="135" spans="1:4" x14ac:dyDescent="0.25">
      <c r="A135" s="1">
        <v>46178</v>
      </c>
      <c r="B135" t="s">
        <v>320</v>
      </c>
      <c r="C135" t="s">
        <v>73</v>
      </c>
      <c r="D135" t="s">
        <v>358</v>
      </c>
    </row>
    <row r="136" spans="1:4" x14ac:dyDescent="0.25">
      <c r="A136" s="1">
        <v>46178</v>
      </c>
      <c r="B136" t="s">
        <v>430</v>
      </c>
      <c r="C136" t="s">
        <v>73</v>
      </c>
      <c r="D136" t="s">
        <v>359</v>
      </c>
    </row>
    <row r="137" spans="1:4" x14ac:dyDescent="0.25">
      <c r="A137" s="1">
        <v>46178</v>
      </c>
      <c r="B137" t="s">
        <v>432</v>
      </c>
      <c r="C137" t="s">
        <v>73</v>
      </c>
      <c r="D137" t="s">
        <v>359</v>
      </c>
    </row>
    <row r="138" spans="1:4" x14ac:dyDescent="0.25">
      <c r="A138" s="1">
        <v>46178</v>
      </c>
      <c r="B138" t="s">
        <v>394</v>
      </c>
      <c r="C138" t="s">
        <v>73</v>
      </c>
      <c r="D138" t="s">
        <v>359</v>
      </c>
    </row>
    <row r="139" spans="1:4" x14ac:dyDescent="0.25">
      <c r="A139" s="1">
        <v>46178</v>
      </c>
      <c r="B139" t="s">
        <v>214</v>
      </c>
      <c r="C139" t="s">
        <v>73</v>
      </c>
      <c r="D139" t="s">
        <v>359</v>
      </c>
    </row>
    <row r="140" spans="1:4" x14ac:dyDescent="0.25">
      <c r="A140" s="1">
        <v>46178</v>
      </c>
      <c r="B140" t="s">
        <v>342</v>
      </c>
      <c r="C140" t="s">
        <v>73</v>
      </c>
      <c r="D140" t="s">
        <v>359</v>
      </c>
    </row>
    <row r="141" spans="1:4" x14ac:dyDescent="0.25">
      <c r="A141" s="1">
        <v>46178</v>
      </c>
      <c r="B141" t="s">
        <v>441</v>
      </c>
      <c r="C141" t="s">
        <v>73</v>
      </c>
      <c r="D141" t="s">
        <v>359</v>
      </c>
    </row>
    <row r="142" spans="1:4" x14ac:dyDescent="0.25">
      <c r="A142" s="1">
        <v>46178</v>
      </c>
      <c r="B142" t="s">
        <v>292</v>
      </c>
      <c r="C142" t="s">
        <v>73</v>
      </c>
      <c r="D142" t="s">
        <v>359</v>
      </c>
    </row>
    <row r="143" spans="1:4" x14ac:dyDescent="0.25">
      <c r="A143" s="1">
        <v>46178</v>
      </c>
      <c r="B143" t="s">
        <v>338</v>
      </c>
      <c r="C143" t="s">
        <v>73</v>
      </c>
      <c r="D143" t="s">
        <v>359</v>
      </c>
    </row>
    <row r="144" spans="1:4" x14ac:dyDescent="0.25">
      <c r="A144" s="1">
        <v>46178</v>
      </c>
      <c r="B144" t="s">
        <v>298</v>
      </c>
      <c r="C144" t="s">
        <v>73</v>
      </c>
      <c r="D144" t="s">
        <v>359</v>
      </c>
    </row>
    <row r="145" spans="1:4" x14ac:dyDescent="0.25">
      <c r="A145" s="1">
        <v>46178</v>
      </c>
      <c r="B145" t="s">
        <v>398</v>
      </c>
      <c r="C145" t="s">
        <v>73</v>
      </c>
      <c r="D145" t="s">
        <v>359</v>
      </c>
    </row>
    <row r="146" spans="1:4" x14ac:dyDescent="0.25">
      <c r="A146" s="1">
        <v>46178</v>
      </c>
      <c r="B146" t="s">
        <v>332</v>
      </c>
      <c r="C146" t="s">
        <v>73</v>
      </c>
      <c r="D146" t="s">
        <v>359</v>
      </c>
    </row>
    <row r="147" spans="1:4" x14ac:dyDescent="0.25">
      <c r="A147" s="1">
        <v>46178</v>
      </c>
      <c r="B147" t="s">
        <v>335</v>
      </c>
      <c r="C147" t="s">
        <v>73</v>
      </c>
      <c r="D147" t="s">
        <v>359</v>
      </c>
    </row>
    <row r="148" spans="1:4" x14ac:dyDescent="0.25">
      <c r="A148" s="1">
        <v>46181</v>
      </c>
      <c r="B148" t="s">
        <v>460</v>
      </c>
      <c r="C148" t="s">
        <v>72</v>
      </c>
      <c r="D148" t="s">
        <v>162</v>
      </c>
    </row>
    <row r="149" spans="1:4" x14ac:dyDescent="0.25">
      <c r="A149" s="1">
        <v>46181</v>
      </c>
      <c r="B149" t="s">
        <v>239</v>
      </c>
      <c r="C149" t="s">
        <v>72</v>
      </c>
      <c r="D149" t="s">
        <v>162</v>
      </c>
    </row>
    <row r="150" spans="1:4" x14ac:dyDescent="0.25">
      <c r="A150" s="1">
        <v>46181</v>
      </c>
      <c r="B150" t="s">
        <v>307</v>
      </c>
      <c r="C150" t="s">
        <v>72</v>
      </c>
      <c r="D150" t="s">
        <v>162</v>
      </c>
    </row>
    <row r="151" spans="1:4" x14ac:dyDescent="0.25">
      <c r="A151" s="1">
        <v>46181</v>
      </c>
      <c r="B151" t="s">
        <v>246</v>
      </c>
      <c r="C151" t="s">
        <v>232</v>
      </c>
      <c r="D151" t="s">
        <v>162</v>
      </c>
    </row>
    <row r="152" spans="1:4" x14ac:dyDescent="0.25">
      <c r="A152" s="1">
        <v>46181</v>
      </c>
      <c r="B152" t="s">
        <v>402</v>
      </c>
      <c r="C152" t="s">
        <v>72</v>
      </c>
      <c r="D152" t="s">
        <v>162</v>
      </c>
    </row>
    <row r="153" spans="1:4" x14ac:dyDescent="0.25">
      <c r="A153" s="1">
        <v>46181</v>
      </c>
      <c r="B153" t="s">
        <v>257</v>
      </c>
      <c r="C153" t="s">
        <v>72</v>
      </c>
      <c r="D153" t="s">
        <v>162</v>
      </c>
    </row>
    <row r="154" spans="1:4" x14ac:dyDescent="0.25">
      <c r="A154" s="1">
        <v>46181</v>
      </c>
      <c r="B154" t="s">
        <v>351</v>
      </c>
      <c r="C154" t="s">
        <v>72</v>
      </c>
      <c r="D154" t="s">
        <v>163</v>
      </c>
    </row>
    <row r="155" spans="1:4" x14ac:dyDescent="0.25">
      <c r="A155" s="1">
        <v>46181</v>
      </c>
      <c r="B155" t="s">
        <v>229</v>
      </c>
      <c r="C155" t="s">
        <v>72</v>
      </c>
      <c r="D155" t="s">
        <v>163</v>
      </c>
    </row>
    <row r="156" spans="1:4" x14ac:dyDescent="0.25">
      <c r="A156" s="1">
        <v>46181</v>
      </c>
      <c r="B156" t="s">
        <v>233</v>
      </c>
      <c r="C156" t="s">
        <v>72</v>
      </c>
      <c r="D156" t="s">
        <v>163</v>
      </c>
    </row>
    <row r="157" spans="1:4" x14ac:dyDescent="0.25">
      <c r="A157" s="1">
        <v>46181</v>
      </c>
      <c r="B157" t="s">
        <v>736</v>
      </c>
      <c r="C157" t="s">
        <v>72</v>
      </c>
      <c r="D157" t="s">
        <v>163</v>
      </c>
    </row>
    <row r="158" spans="1:4" x14ac:dyDescent="0.25">
      <c r="A158" s="1">
        <v>46181</v>
      </c>
      <c r="B158" t="s">
        <v>699</v>
      </c>
      <c r="C158" t="s">
        <v>72</v>
      </c>
      <c r="D158" t="s">
        <v>163</v>
      </c>
    </row>
    <row r="159" spans="1:4" x14ac:dyDescent="0.25">
      <c r="A159" s="1">
        <v>46181</v>
      </c>
      <c r="B159" t="s">
        <v>352</v>
      </c>
      <c r="C159" t="s">
        <v>72</v>
      </c>
      <c r="D159" t="s">
        <v>354</v>
      </c>
    </row>
    <row r="160" spans="1:4" x14ac:dyDescent="0.25">
      <c r="A160" s="1">
        <v>46181</v>
      </c>
      <c r="B160" t="s">
        <v>430</v>
      </c>
      <c r="C160" t="s">
        <v>72</v>
      </c>
      <c r="D160" t="s">
        <v>354</v>
      </c>
    </row>
    <row r="161" spans="1:4" x14ac:dyDescent="0.25">
      <c r="A161" s="1">
        <v>46181</v>
      </c>
      <c r="B161" t="s">
        <v>652</v>
      </c>
      <c r="C161" t="s">
        <v>72</v>
      </c>
      <c r="D161" t="s">
        <v>354</v>
      </c>
    </row>
    <row r="162" spans="1:4" x14ac:dyDescent="0.25">
      <c r="A162" s="1">
        <v>46181</v>
      </c>
      <c r="B162" t="s">
        <v>564</v>
      </c>
      <c r="C162" t="s">
        <v>72</v>
      </c>
      <c r="D162" t="s">
        <v>354</v>
      </c>
    </row>
    <row r="163" spans="1:4" x14ac:dyDescent="0.25">
      <c r="A163" s="1">
        <v>46181</v>
      </c>
      <c r="B163" t="s">
        <v>431</v>
      </c>
      <c r="C163" t="s">
        <v>355</v>
      </c>
      <c r="D163" t="s">
        <v>354</v>
      </c>
    </row>
    <row r="164" spans="1:4" x14ac:dyDescent="0.25">
      <c r="A164" s="1">
        <v>46181</v>
      </c>
      <c r="B164" t="s">
        <v>435</v>
      </c>
      <c r="C164" t="s">
        <v>72</v>
      </c>
      <c r="D164" t="s">
        <v>354</v>
      </c>
    </row>
    <row r="165" spans="1:4" x14ac:dyDescent="0.25">
      <c r="A165" s="1">
        <v>46181</v>
      </c>
      <c r="B165" t="s">
        <v>207</v>
      </c>
      <c r="C165" t="s">
        <v>72</v>
      </c>
      <c r="D165" t="s">
        <v>354</v>
      </c>
    </row>
    <row r="166" spans="1:4" x14ac:dyDescent="0.25">
      <c r="A166" s="1">
        <v>46181</v>
      </c>
      <c r="B166" t="s">
        <v>453</v>
      </c>
      <c r="C166" t="s">
        <v>72</v>
      </c>
      <c r="D166" t="s">
        <v>354</v>
      </c>
    </row>
    <row r="167" spans="1:4" x14ac:dyDescent="0.25">
      <c r="A167" s="1">
        <v>46181</v>
      </c>
      <c r="B167" t="s">
        <v>578</v>
      </c>
      <c r="C167" t="s">
        <v>72</v>
      </c>
      <c r="D167" t="s">
        <v>354</v>
      </c>
    </row>
    <row r="168" spans="1:4" x14ac:dyDescent="0.25">
      <c r="A168" s="1">
        <v>46181</v>
      </c>
      <c r="B168" t="s">
        <v>345</v>
      </c>
      <c r="C168" t="s">
        <v>72</v>
      </c>
      <c r="D168" t="s">
        <v>354</v>
      </c>
    </row>
    <row r="169" spans="1:4" x14ac:dyDescent="0.25">
      <c r="A169" s="1">
        <v>46181</v>
      </c>
      <c r="B169" t="s">
        <v>284</v>
      </c>
      <c r="C169" t="s">
        <v>232</v>
      </c>
      <c r="D169" t="s">
        <v>354</v>
      </c>
    </row>
    <row r="170" spans="1:4" x14ac:dyDescent="0.25">
      <c r="A170" s="1">
        <v>46181</v>
      </c>
      <c r="B170" t="s">
        <v>286</v>
      </c>
      <c r="C170" t="s">
        <v>232</v>
      </c>
      <c r="D170" t="s">
        <v>354</v>
      </c>
    </row>
    <row r="171" spans="1:4" x14ac:dyDescent="0.25">
      <c r="A171" s="1">
        <v>46181</v>
      </c>
      <c r="B171" t="s">
        <v>287</v>
      </c>
      <c r="C171" t="s">
        <v>232</v>
      </c>
      <c r="D171" t="s">
        <v>354</v>
      </c>
    </row>
    <row r="172" spans="1:4" x14ac:dyDescent="0.25">
      <c r="A172" s="1">
        <v>46181</v>
      </c>
      <c r="B172" t="s">
        <v>290</v>
      </c>
      <c r="C172" t="s">
        <v>355</v>
      </c>
      <c r="D172" t="s">
        <v>354</v>
      </c>
    </row>
    <row r="173" spans="1:4" x14ac:dyDescent="0.25">
      <c r="A173" s="1">
        <v>46181</v>
      </c>
      <c r="B173" t="s">
        <v>226</v>
      </c>
      <c r="C173" t="s">
        <v>72</v>
      </c>
      <c r="D173" t="s">
        <v>354</v>
      </c>
    </row>
    <row r="174" spans="1:4" x14ac:dyDescent="0.25">
      <c r="A174" s="1">
        <v>46181</v>
      </c>
      <c r="B174" t="s">
        <v>342</v>
      </c>
      <c r="C174" t="s">
        <v>72</v>
      </c>
      <c r="D174" t="s">
        <v>354</v>
      </c>
    </row>
    <row r="175" spans="1:4" x14ac:dyDescent="0.25">
      <c r="A175" s="1">
        <v>46181</v>
      </c>
      <c r="B175" t="s">
        <v>292</v>
      </c>
      <c r="C175" t="s">
        <v>72</v>
      </c>
      <c r="D175" t="s">
        <v>354</v>
      </c>
    </row>
    <row r="176" spans="1:4" x14ac:dyDescent="0.25">
      <c r="A176" s="1">
        <v>46181</v>
      </c>
      <c r="B176" t="s">
        <v>293</v>
      </c>
      <c r="C176" t="s">
        <v>232</v>
      </c>
      <c r="D176" t="s">
        <v>354</v>
      </c>
    </row>
    <row r="177" spans="1:4" x14ac:dyDescent="0.25">
      <c r="A177" s="1">
        <v>46181</v>
      </c>
      <c r="B177" t="s">
        <v>425</v>
      </c>
      <c r="C177" t="s">
        <v>72</v>
      </c>
      <c r="D177" t="s">
        <v>354</v>
      </c>
    </row>
    <row r="178" spans="1:4" x14ac:dyDescent="0.25">
      <c r="A178" s="1">
        <v>46181</v>
      </c>
      <c r="B178" t="s">
        <v>338</v>
      </c>
      <c r="C178" t="s">
        <v>72</v>
      </c>
      <c r="D178" t="s">
        <v>354</v>
      </c>
    </row>
    <row r="179" spans="1:4" x14ac:dyDescent="0.25">
      <c r="A179" s="1">
        <v>46181</v>
      </c>
      <c r="B179" t="s">
        <v>296</v>
      </c>
      <c r="C179" t="s">
        <v>72</v>
      </c>
      <c r="D179" t="s">
        <v>354</v>
      </c>
    </row>
    <row r="180" spans="1:4" x14ac:dyDescent="0.25">
      <c r="A180" s="1">
        <v>46181</v>
      </c>
      <c r="B180" t="s">
        <v>339</v>
      </c>
      <c r="C180" t="s">
        <v>72</v>
      </c>
      <c r="D180" t="s">
        <v>354</v>
      </c>
    </row>
    <row r="181" spans="1:4" x14ac:dyDescent="0.25">
      <c r="A181" s="1">
        <v>46181</v>
      </c>
      <c r="B181" t="s">
        <v>297</v>
      </c>
      <c r="C181" t="s">
        <v>72</v>
      </c>
      <c r="D181" t="s">
        <v>354</v>
      </c>
    </row>
    <row r="182" spans="1:4" x14ac:dyDescent="0.25">
      <c r="A182" s="1">
        <v>46181</v>
      </c>
      <c r="B182" t="s">
        <v>298</v>
      </c>
      <c r="C182" t="s">
        <v>72</v>
      </c>
      <c r="D182" t="s">
        <v>354</v>
      </c>
    </row>
    <row r="183" spans="1:4" x14ac:dyDescent="0.25">
      <c r="A183" s="1">
        <v>46181</v>
      </c>
      <c r="B183" t="s">
        <v>230</v>
      </c>
      <c r="C183" t="s">
        <v>72</v>
      </c>
      <c r="D183" t="s">
        <v>354</v>
      </c>
    </row>
    <row r="184" spans="1:4" x14ac:dyDescent="0.25">
      <c r="A184" s="1">
        <v>46181</v>
      </c>
      <c r="B184" t="s">
        <v>299</v>
      </c>
      <c r="C184" t="s">
        <v>72</v>
      </c>
      <c r="D184" t="s">
        <v>354</v>
      </c>
    </row>
    <row r="185" spans="1:4" x14ac:dyDescent="0.25">
      <c r="A185" s="1">
        <v>46181</v>
      </c>
      <c r="B185" t="s">
        <v>442</v>
      </c>
      <c r="C185" t="s">
        <v>72</v>
      </c>
      <c r="D185" t="s">
        <v>354</v>
      </c>
    </row>
    <row r="186" spans="1:4" x14ac:dyDescent="0.25">
      <c r="A186" s="1">
        <v>46181</v>
      </c>
      <c r="B186" t="s">
        <v>304</v>
      </c>
      <c r="C186" t="s">
        <v>355</v>
      </c>
      <c r="D186" t="s">
        <v>354</v>
      </c>
    </row>
    <row r="187" spans="1:4" x14ac:dyDescent="0.25">
      <c r="A187" s="1">
        <v>46181</v>
      </c>
      <c r="B187" t="s">
        <v>343</v>
      </c>
      <c r="C187" t="s">
        <v>72</v>
      </c>
      <c r="D187" t="s">
        <v>354</v>
      </c>
    </row>
    <row r="188" spans="1:4" x14ac:dyDescent="0.25">
      <c r="A188" s="1">
        <v>46181</v>
      </c>
      <c r="B188" t="s">
        <v>739</v>
      </c>
      <c r="C188" t="s">
        <v>72</v>
      </c>
      <c r="D188" t="s">
        <v>354</v>
      </c>
    </row>
    <row r="189" spans="1:4" x14ac:dyDescent="0.25">
      <c r="A189" s="1">
        <v>46181</v>
      </c>
      <c r="B189" t="s">
        <v>456</v>
      </c>
      <c r="C189" t="s">
        <v>72</v>
      </c>
      <c r="D189" t="s">
        <v>354</v>
      </c>
    </row>
    <row r="190" spans="1:4" x14ac:dyDescent="0.25">
      <c r="A190" s="1">
        <v>46181</v>
      </c>
      <c r="B190" t="s">
        <v>427</v>
      </c>
      <c r="C190" t="s">
        <v>72</v>
      </c>
      <c r="D190" t="s">
        <v>354</v>
      </c>
    </row>
    <row r="191" spans="1:4" x14ac:dyDescent="0.25">
      <c r="A191" s="1">
        <v>46181</v>
      </c>
      <c r="B191" t="s">
        <v>318</v>
      </c>
      <c r="C191" t="s">
        <v>232</v>
      </c>
      <c r="D191" t="s">
        <v>354</v>
      </c>
    </row>
    <row r="192" spans="1:4" x14ac:dyDescent="0.25">
      <c r="A192" s="1">
        <v>46181</v>
      </c>
      <c r="B192" t="s">
        <v>321</v>
      </c>
      <c r="C192" t="s">
        <v>355</v>
      </c>
      <c r="D192" t="s">
        <v>354</v>
      </c>
    </row>
    <row r="193" spans="1:4" x14ac:dyDescent="0.25">
      <c r="A193" s="1">
        <v>46181</v>
      </c>
      <c r="B193" t="s">
        <v>341</v>
      </c>
      <c r="C193" t="s">
        <v>72</v>
      </c>
      <c r="D193" t="s">
        <v>354</v>
      </c>
    </row>
    <row r="194" spans="1:4" x14ac:dyDescent="0.25">
      <c r="A194" s="1">
        <v>46181</v>
      </c>
      <c r="B194" t="s">
        <v>269</v>
      </c>
      <c r="C194" t="s">
        <v>72</v>
      </c>
      <c r="D194" t="s">
        <v>354</v>
      </c>
    </row>
    <row r="195" spans="1:4" x14ac:dyDescent="0.25">
      <c r="A195" s="1">
        <v>46181</v>
      </c>
      <c r="B195" t="s">
        <v>444</v>
      </c>
      <c r="C195" t="s">
        <v>232</v>
      </c>
      <c r="D195" t="s">
        <v>354</v>
      </c>
    </row>
    <row r="196" spans="1:4" x14ac:dyDescent="0.25">
      <c r="A196" s="1">
        <v>46181</v>
      </c>
      <c r="B196" t="s">
        <v>268</v>
      </c>
      <c r="C196" t="s">
        <v>72</v>
      </c>
      <c r="D196" t="s">
        <v>354</v>
      </c>
    </row>
    <row r="197" spans="1:4" x14ac:dyDescent="0.25">
      <c r="A197" s="1">
        <v>46181</v>
      </c>
      <c r="B197" t="s">
        <v>253</v>
      </c>
      <c r="C197" t="s">
        <v>355</v>
      </c>
      <c r="D197" t="s">
        <v>354</v>
      </c>
    </row>
    <row r="198" spans="1:4" x14ac:dyDescent="0.25">
      <c r="A198" s="1">
        <v>46181</v>
      </c>
      <c r="B198" t="s">
        <v>459</v>
      </c>
      <c r="C198" t="s">
        <v>72</v>
      </c>
      <c r="D198" t="s">
        <v>354</v>
      </c>
    </row>
    <row r="199" spans="1:4" x14ac:dyDescent="0.25">
      <c r="A199" s="1">
        <v>46181</v>
      </c>
      <c r="B199" t="s">
        <v>450</v>
      </c>
      <c r="C199" t="s">
        <v>232</v>
      </c>
      <c r="D199" t="s">
        <v>354</v>
      </c>
    </row>
    <row r="200" spans="1:4" x14ac:dyDescent="0.25">
      <c r="A200" s="1">
        <v>46181</v>
      </c>
      <c r="B200" t="s">
        <v>337</v>
      </c>
      <c r="C200" t="s">
        <v>355</v>
      </c>
      <c r="D200" t="s">
        <v>354</v>
      </c>
    </row>
    <row r="201" spans="1:4" x14ac:dyDescent="0.25">
      <c r="A201" s="1">
        <v>46181</v>
      </c>
      <c r="B201" t="s">
        <v>395</v>
      </c>
      <c r="C201" t="s">
        <v>72</v>
      </c>
      <c r="D201" t="s">
        <v>222</v>
      </c>
    </row>
    <row r="202" spans="1:4" x14ac:dyDescent="0.25">
      <c r="A202" s="1">
        <v>46181</v>
      </c>
      <c r="B202" t="s">
        <v>439</v>
      </c>
      <c r="C202" t="s">
        <v>72</v>
      </c>
      <c r="D202" t="s">
        <v>222</v>
      </c>
    </row>
    <row r="203" spans="1:4" x14ac:dyDescent="0.25">
      <c r="A203" s="1">
        <v>46181</v>
      </c>
      <c r="B203" t="s">
        <v>346</v>
      </c>
      <c r="C203" t="s">
        <v>72</v>
      </c>
      <c r="D203" t="s">
        <v>222</v>
      </c>
    </row>
    <row r="204" spans="1:4" x14ac:dyDescent="0.25">
      <c r="A204" s="1">
        <v>46181</v>
      </c>
      <c r="B204" t="s">
        <v>310</v>
      </c>
      <c r="C204" t="s">
        <v>72</v>
      </c>
      <c r="D204" t="s">
        <v>222</v>
      </c>
    </row>
    <row r="205" spans="1:4" x14ac:dyDescent="0.25">
      <c r="A205" s="1">
        <v>46181</v>
      </c>
      <c r="B205" t="s">
        <v>648</v>
      </c>
      <c r="C205" t="s">
        <v>72</v>
      </c>
      <c r="D205" t="s">
        <v>222</v>
      </c>
    </row>
    <row r="206" spans="1:4" x14ac:dyDescent="0.25">
      <c r="A206" s="1">
        <v>46181</v>
      </c>
      <c r="B206" t="s">
        <v>288</v>
      </c>
      <c r="C206" t="s">
        <v>73</v>
      </c>
      <c r="D206" t="s">
        <v>162</v>
      </c>
    </row>
    <row r="207" spans="1:4" x14ac:dyDescent="0.25">
      <c r="A207" s="1">
        <v>46181</v>
      </c>
      <c r="B207" t="s">
        <v>300</v>
      </c>
      <c r="C207" t="s">
        <v>73</v>
      </c>
      <c r="D207" t="s">
        <v>162</v>
      </c>
    </row>
    <row r="208" spans="1:4" x14ac:dyDescent="0.25">
      <c r="A208" s="1">
        <v>46181</v>
      </c>
      <c r="B208" t="s">
        <v>325</v>
      </c>
      <c r="C208" t="s">
        <v>73</v>
      </c>
      <c r="D208" t="s">
        <v>162</v>
      </c>
    </row>
    <row r="209" spans="1:4" x14ac:dyDescent="0.25">
      <c r="A209" s="1">
        <v>46181</v>
      </c>
      <c r="B209" t="s">
        <v>410</v>
      </c>
      <c r="C209" t="s">
        <v>73</v>
      </c>
      <c r="D209" t="s">
        <v>162</v>
      </c>
    </row>
    <row r="210" spans="1:4" x14ac:dyDescent="0.25">
      <c r="A210" s="1">
        <v>46181</v>
      </c>
      <c r="B210" t="s">
        <v>249</v>
      </c>
      <c r="C210" t="s">
        <v>73</v>
      </c>
      <c r="D210" t="s">
        <v>162</v>
      </c>
    </row>
    <row r="211" spans="1:4" x14ac:dyDescent="0.25">
      <c r="A211" s="1">
        <v>46181</v>
      </c>
      <c r="B211" t="s">
        <v>448</v>
      </c>
      <c r="C211" t="s">
        <v>73</v>
      </c>
      <c r="D211" t="s">
        <v>162</v>
      </c>
    </row>
    <row r="212" spans="1:4" x14ac:dyDescent="0.25">
      <c r="A212" s="1">
        <v>46181</v>
      </c>
      <c r="B212" t="s">
        <v>683</v>
      </c>
      <c r="C212" t="s">
        <v>73</v>
      </c>
      <c r="D212" t="s">
        <v>163</v>
      </c>
    </row>
    <row r="213" spans="1:4" x14ac:dyDescent="0.25">
      <c r="A213" s="1">
        <v>46181</v>
      </c>
      <c r="B213" t="s">
        <v>426</v>
      </c>
      <c r="C213" t="s">
        <v>73</v>
      </c>
      <c r="D213" t="s">
        <v>163</v>
      </c>
    </row>
    <row r="214" spans="1:4" x14ac:dyDescent="0.25">
      <c r="A214" s="1">
        <v>46181</v>
      </c>
      <c r="B214" t="s">
        <v>322</v>
      </c>
      <c r="C214" t="s">
        <v>73</v>
      </c>
      <c r="D214" t="s">
        <v>163</v>
      </c>
    </row>
    <row r="215" spans="1:4" x14ac:dyDescent="0.25">
      <c r="A215" s="1">
        <v>46181</v>
      </c>
      <c r="B215" t="s">
        <v>263</v>
      </c>
      <c r="C215" t="s">
        <v>73</v>
      </c>
      <c r="D215" t="s">
        <v>163</v>
      </c>
    </row>
    <row r="216" spans="1:4" x14ac:dyDescent="0.25">
      <c r="A216" s="1">
        <v>46181</v>
      </c>
      <c r="B216" t="s">
        <v>458</v>
      </c>
      <c r="C216" t="s">
        <v>73</v>
      </c>
      <c r="D216" t="s">
        <v>163</v>
      </c>
    </row>
    <row r="217" spans="1:4" x14ac:dyDescent="0.25">
      <c r="A217" s="1">
        <v>46181</v>
      </c>
      <c r="B217" t="s">
        <v>423</v>
      </c>
      <c r="C217" t="s">
        <v>73</v>
      </c>
      <c r="D217" t="s">
        <v>354</v>
      </c>
    </row>
    <row r="218" spans="1:4" x14ac:dyDescent="0.25">
      <c r="A218" s="1">
        <v>46181</v>
      </c>
      <c r="B218" t="s">
        <v>625</v>
      </c>
      <c r="C218" t="s">
        <v>73</v>
      </c>
      <c r="D218" t="s">
        <v>354</v>
      </c>
    </row>
    <row r="219" spans="1:4" x14ac:dyDescent="0.25">
      <c r="A219" s="1">
        <v>46181</v>
      </c>
      <c r="B219" t="s">
        <v>274</v>
      </c>
      <c r="C219" t="s">
        <v>73</v>
      </c>
      <c r="D219" t="s">
        <v>354</v>
      </c>
    </row>
    <row r="220" spans="1:4" x14ac:dyDescent="0.25">
      <c r="A220" s="1">
        <v>46181</v>
      </c>
      <c r="B220" t="s">
        <v>457</v>
      </c>
      <c r="C220" t="s">
        <v>73</v>
      </c>
      <c r="D220" t="s">
        <v>354</v>
      </c>
    </row>
    <row r="221" spans="1:4" x14ac:dyDescent="0.25">
      <c r="A221" s="1">
        <v>46181</v>
      </c>
      <c r="B221" t="s">
        <v>424</v>
      </c>
      <c r="C221" t="s">
        <v>73</v>
      </c>
      <c r="D221" t="s">
        <v>354</v>
      </c>
    </row>
    <row r="222" spans="1:4" x14ac:dyDescent="0.25">
      <c r="A222" s="1">
        <v>46181</v>
      </c>
      <c r="B222" t="s">
        <v>344</v>
      </c>
      <c r="C222" t="s">
        <v>73</v>
      </c>
      <c r="D222" t="s">
        <v>354</v>
      </c>
    </row>
    <row r="223" spans="1:4" x14ac:dyDescent="0.25">
      <c r="A223" s="1">
        <v>46181</v>
      </c>
      <c r="B223" t="s">
        <v>415</v>
      </c>
      <c r="C223" t="s">
        <v>73</v>
      </c>
      <c r="D223" t="s">
        <v>354</v>
      </c>
    </row>
    <row r="224" spans="1:4" x14ac:dyDescent="0.25">
      <c r="A224" s="1">
        <v>46181</v>
      </c>
      <c r="B224" t="s">
        <v>634</v>
      </c>
      <c r="C224" t="s">
        <v>73</v>
      </c>
      <c r="D224" t="s">
        <v>354</v>
      </c>
    </row>
    <row r="225" spans="1:4" x14ac:dyDescent="0.25">
      <c r="A225" s="1">
        <v>46181</v>
      </c>
      <c r="B225" t="s">
        <v>438</v>
      </c>
      <c r="C225" t="s">
        <v>73</v>
      </c>
      <c r="D225" t="s">
        <v>354</v>
      </c>
    </row>
    <row r="226" spans="1:4" x14ac:dyDescent="0.25">
      <c r="A226" s="1">
        <v>46181</v>
      </c>
      <c r="B226" t="s">
        <v>421</v>
      </c>
      <c r="C226" t="s">
        <v>73</v>
      </c>
      <c r="D226" t="s">
        <v>354</v>
      </c>
    </row>
    <row r="227" spans="1:4" x14ac:dyDescent="0.25">
      <c r="A227" s="1">
        <v>46181</v>
      </c>
      <c r="B227" t="s">
        <v>630</v>
      </c>
      <c r="C227" t="s">
        <v>73</v>
      </c>
      <c r="D227" t="s">
        <v>354</v>
      </c>
    </row>
    <row r="228" spans="1:4" x14ac:dyDescent="0.25">
      <c r="A228" s="1">
        <v>46181</v>
      </c>
      <c r="B228" t="s">
        <v>419</v>
      </c>
      <c r="C228" t="s">
        <v>73</v>
      </c>
      <c r="D228" t="s">
        <v>354</v>
      </c>
    </row>
    <row r="229" spans="1:4" x14ac:dyDescent="0.25">
      <c r="A229" s="1">
        <v>46181</v>
      </c>
      <c r="B229" t="s">
        <v>261</v>
      </c>
      <c r="C229" t="s">
        <v>73</v>
      </c>
      <c r="D229" t="s">
        <v>354</v>
      </c>
    </row>
    <row r="230" spans="1:4" x14ac:dyDescent="0.25">
      <c r="A230" s="1">
        <v>46181</v>
      </c>
      <c r="B230" t="s">
        <v>454</v>
      </c>
      <c r="C230" t="s">
        <v>73</v>
      </c>
      <c r="D230" t="s">
        <v>354</v>
      </c>
    </row>
    <row r="231" spans="1:4" x14ac:dyDescent="0.25">
      <c r="A231" s="1">
        <v>46181</v>
      </c>
      <c r="B231" t="s">
        <v>452</v>
      </c>
      <c r="C231" t="s">
        <v>73</v>
      </c>
      <c r="D231" t="s">
        <v>354</v>
      </c>
    </row>
    <row r="232" spans="1:4" x14ac:dyDescent="0.25">
      <c r="A232" s="1">
        <v>46181</v>
      </c>
      <c r="B232" t="s">
        <v>235</v>
      </c>
      <c r="C232" t="s">
        <v>73</v>
      </c>
      <c r="D232" t="s">
        <v>354</v>
      </c>
    </row>
    <row r="233" spans="1:4" x14ac:dyDescent="0.25">
      <c r="A233" s="1">
        <v>46181</v>
      </c>
      <c r="B233" t="s">
        <v>236</v>
      </c>
      <c r="C233" t="s">
        <v>73</v>
      </c>
      <c r="D233" t="s">
        <v>354</v>
      </c>
    </row>
    <row r="234" spans="1:4" x14ac:dyDescent="0.25">
      <c r="A234" s="1">
        <v>46181</v>
      </c>
      <c r="B234" t="s">
        <v>350</v>
      </c>
      <c r="C234" t="s">
        <v>73</v>
      </c>
      <c r="D234" t="s">
        <v>354</v>
      </c>
    </row>
    <row r="235" spans="1:4" x14ac:dyDescent="0.25">
      <c r="A235" s="1">
        <v>46181</v>
      </c>
      <c r="B235" t="s">
        <v>723</v>
      </c>
      <c r="C235" t="s">
        <v>73</v>
      </c>
      <c r="D235" t="s">
        <v>354</v>
      </c>
    </row>
    <row r="236" spans="1:4" x14ac:dyDescent="0.25">
      <c r="A236" s="1">
        <v>46181</v>
      </c>
      <c r="B236" t="s">
        <v>271</v>
      </c>
      <c r="C236" t="s">
        <v>73</v>
      </c>
      <c r="D236" t="s">
        <v>354</v>
      </c>
    </row>
    <row r="237" spans="1:4" x14ac:dyDescent="0.25">
      <c r="A237" s="1">
        <v>46181</v>
      </c>
      <c r="B237" t="s">
        <v>323</v>
      </c>
      <c r="C237" t="s">
        <v>73</v>
      </c>
      <c r="D237" t="s">
        <v>354</v>
      </c>
    </row>
    <row r="238" spans="1:4" x14ac:dyDescent="0.25">
      <c r="A238" s="1">
        <v>46181</v>
      </c>
      <c r="B238" t="s">
        <v>250</v>
      </c>
      <c r="C238" t="s">
        <v>73</v>
      </c>
      <c r="D238" t="s">
        <v>354</v>
      </c>
    </row>
    <row r="239" spans="1:4" x14ac:dyDescent="0.25">
      <c r="A239" s="1">
        <v>46181</v>
      </c>
      <c r="B239" t="s">
        <v>565</v>
      </c>
      <c r="C239" t="s">
        <v>73</v>
      </c>
      <c r="D239" t="s">
        <v>354</v>
      </c>
    </row>
    <row r="240" spans="1:4" x14ac:dyDescent="0.25">
      <c r="A240" s="1">
        <v>46181</v>
      </c>
      <c r="B240" t="s">
        <v>646</v>
      </c>
      <c r="C240" t="s">
        <v>73</v>
      </c>
      <c r="D240" t="s">
        <v>222</v>
      </c>
    </row>
    <row r="241" spans="1:4" x14ac:dyDescent="0.25">
      <c r="A241" s="1">
        <v>46181</v>
      </c>
      <c r="B241" t="s">
        <v>308</v>
      </c>
      <c r="C241" t="s">
        <v>73</v>
      </c>
      <c r="D241" t="s">
        <v>222</v>
      </c>
    </row>
    <row r="242" spans="1:4" x14ac:dyDescent="0.25">
      <c r="A242" s="1">
        <v>46181</v>
      </c>
      <c r="B242" t="s">
        <v>313</v>
      </c>
      <c r="C242" t="s">
        <v>73</v>
      </c>
      <c r="D242" t="s">
        <v>222</v>
      </c>
    </row>
    <row r="243" spans="1:4" x14ac:dyDescent="0.25">
      <c r="A243" s="1">
        <v>46181</v>
      </c>
      <c r="B243" t="s">
        <v>243</v>
      </c>
      <c r="C243" t="s">
        <v>73</v>
      </c>
      <c r="D243" t="s">
        <v>222</v>
      </c>
    </row>
    <row r="244" spans="1:4" x14ac:dyDescent="0.25">
      <c r="A244" s="1">
        <v>46181</v>
      </c>
      <c r="B244" t="s">
        <v>254</v>
      </c>
      <c r="C244" t="s">
        <v>72</v>
      </c>
      <c r="D244" t="s">
        <v>356</v>
      </c>
    </row>
    <row r="245" spans="1:4" x14ac:dyDescent="0.25">
      <c r="A245" s="1">
        <v>46181</v>
      </c>
      <c r="B245" t="s">
        <v>214</v>
      </c>
      <c r="C245" t="s">
        <v>72</v>
      </c>
      <c r="D245" t="s">
        <v>357</v>
      </c>
    </row>
    <row r="246" spans="1:4" x14ac:dyDescent="0.25">
      <c r="A246" s="1">
        <v>46181</v>
      </c>
      <c r="B246" t="s">
        <v>394</v>
      </c>
      <c r="C246" t="s">
        <v>72</v>
      </c>
      <c r="D246" t="s">
        <v>358</v>
      </c>
    </row>
    <row r="247" spans="1:4" x14ac:dyDescent="0.25">
      <c r="A247" s="1">
        <v>46181</v>
      </c>
      <c r="B247" t="s">
        <v>217</v>
      </c>
      <c r="C247" t="s">
        <v>72</v>
      </c>
      <c r="D247" t="s">
        <v>358</v>
      </c>
    </row>
    <row r="248" spans="1:4" x14ac:dyDescent="0.25">
      <c r="A248" s="1">
        <v>46181</v>
      </c>
      <c r="B248" t="s">
        <v>441</v>
      </c>
      <c r="C248" t="s">
        <v>72</v>
      </c>
      <c r="D248" t="s">
        <v>358</v>
      </c>
    </row>
    <row r="249" spans="1:4" x14ac:dyDescent="0.25">
      <c r="A249" s="1">
        <v>46181</v>
      </c>
      <c r="B249" t="s">
        <v>305</v>
      </c>
      <c r="C249" t="s">
        <v>72</v>
      </c>
      <c r="D249" t="s">
        <v>358</v>
      </c>
    </row>
    <row r="250" spans="1:4" x14ac:dyDescent="0.25">
      <c r="A250" s="1">
        <v>46181</v>
      </c>
      <c r="B250" t="s">
        <v>316</v>
      </c>
      <c r="C250" t="s">
        <v>232</v>
      </c>
      <c r="D250" t="s">
        <v>358</v>
      </c>
    </row>
    <row r="251" spans="1:4" x14ac:dyDescent="0.25">
      <c r="A251" s="1">
        <v>46181</v>
      </c>
      <c r="B251" t="s">
        <v>446</v>
      </c>
      <c r="C251" t="s">
        <v>72</v>
      </c>
      <c r="D251" t="s">
        <v>358</v>
      </c>
    </row>
    <row r="252" spans="1:4" x14ac:dyDescent="0.25">
      <c r="A252" s="1">
        <v>46181</v>
      </c>
      <c r="B252" t="s">
        <v>258</v>
      </c>
      <c r="C252" t="s">
        <v>72</v>
      </c>
      <c r="D252" t="s">
        <v>358</v>
      </c>
    </row>
    <row r="253" spans="1:4" x14ac:dyDescent="0.25">
      <c r="A253" s="1">
        <v>46181</v>
      </c>
      <c r="B253" t="s">
        <v>328</v>
      </c>
      <c r="C253" t="s">
        <v>72</v>
      </c>
      <c r="D253" t="s">
        <v>358</v>
      </c>
    </row>
    <row r="254" spans="1:4" x14ac:dyDescent="0.25">
      <c r="A254" s="1">
        <v>46181</v>
      </c>
      <c r="B254" t="s">
        <v>329</v>
      </c>
      <c r="C254" t="s">
        <v>355</v>
      </c>
      <c r="D254" t="s">
        <v>358</v>
      </c>
    </row>
    <row r="255" spans="1:4" x14ac:dyDescent="0.25">
      <c r="A255" s="1">
        <v>46181</v>
      </c>
      <c r="B255" t="s">
        <v>335</v>
      </c>
      <c r="C255" t="s">
        <v>72</v>
      </c>
      <c r="D255" t="s">
        <v>358</v>
      </c>
    </row>
    <row r="256" spans="1:4" x14ac:dyDescent="0.25">
      <c r="A256" s="1">
        <v>46181</v>
      </c>
      <c r="B256" t="s">
        <v>277</v>
      </c>
      <c r="C256" t="s">
        <v>72</v>
      </c>
      <c r="D256" t="s">
        <v>359</v>
      </c>
    </row>
    <row r="257" spans="1:4" x14ac:dyDescent="0.25">
      <c r="A257" s="1">
        <v>46181</v>
      </c>
      <c r="B257" t="s">
        <v>432</v>
      </c>
      <c r="C257" t="s">
        <v>72</v>
      </c>
      <c r="D257" t="s">
        <v>359</v>
      </c>
    </row>
    <row r="258" spans="1:4" x14ac:dyDescent="0.25">
      <c r="A258" s="1">
        <v>46181</v>
      </c>
      <c r="B258" t="s">
        <v>661</v>
      </c>
      <c r="C258" t="s">
        <v>72</v>
      </c>
      <c r="D258" t="s">
        <v>359</v>
      </c>
    </row>
    <row r="259" spans="1:4" x14ac:dyDescent="0.25">
      <c r="A259" s="1">
        <v>46181</v>
      </c>
      <c r="B259" t="s">
        <v>281</v>
      </c>
      <c r="C259" t="s">
        <v>355</v>
      </c>
      <c r="D259" t="s">
        <v>359</v>
      </c>
    </row>
    <row r="260" spans="1:4" x14ac:dyDescent="0.25">
      <c r="A260" s="1">
        <v>46181</v>
      </c>
      <c r="B260" t="s">
        <v>580</v>
      </c>
      <c r="C260" t="s">
        <v>72</v>
      </c>
      <c r="D260" t="s">
        <v>359</v>
      </c>
    </row>
    <row r="261" spans="1:4" x14ac:dyDescent="0.25">
      <c r="A261" s="1">
        <v>46181</v>
      </c>
      <c r="B261" t="s">
        <v>218</v>
      </c>
      <c r="C261" t="s">
        <v>355</v>
      </c>
      <c r="D261" t="s">
        <v>359</v>
      </c>
    </row>
    <row r="262" spans="1:4" x14ac:dyDescent="0.25">
      <c r="A262" s="1">
        <v>46181</v>
      </c>
      <c r="B262" t="s">
        <v>586</v>
      </c>
      <c r="C262" t="s">
        <v>72</v>
      </c>
      <c r="D262" t="s">
        <v>359</v>
      </c>
    </row>
    <row r="263" spans="1:4" x14ac:dyDescent="0.25">
      <c r="A263" s="1">
        <v>46181</v>
      </c>
      <c r="B263" t="s">
        <v>221</v>
      </c>
      <c r="C263" t="s">
        <v>72</v>
      </c>
      <c r="D263" t="s">
        <v>359</v>
      </c>
    </row>
    <row r="264" spans="1:4" x14ac:dyDescent="0.25">
      <c r="A264" s="1">
        <v>46181</v>
      </c>
      <c r="B264" t="s">
        <v>224</v>
      </c>
      <c r="C264" t="s">
        <v>72</v>
      </c>
      <c r="D264" t="s">
        <v>359</v>
      </c>
    </row>
    <row r="265" spans="1:4" x14ac:dyDescent="0.25">
      <c r="A265" s="1">
        <v>46181</v>
      </c>
      <c r="B265" t="s">
        <v>234</v>
      </c>
      <c r="C265" t="s">
        <v>72</v>
      </c>
      <c r="D265" t="s">
        <v>359</v>
      </c>
    </row>
    <row r="266" spans="1:4" x14ac:dyDescent="0.25">
      <c r="A266" s="1">
        <v>46181</v>
      </c>
      <c r="B266" t="s">
        <v>443</v>
      </c>
      <c r="C266" t="s">
        <v>72</v>
      </c>
      <c r="D266" t="s">
        <v>359</v>
      </c>
    </row>
    <row r="267" spans="1:4" x14ac:dyDescent="0.25">
      <c r="A267" s="1">
        <v>46181</v>
      </c>
      <c r="B267" t="s">
        <v>303</v>
      </c>
      <c r="C267" t="s">
        <v>72</v>
      </c>
      <c r="D267" t="s">
        <v>359</v>
      </c>
    </row>
    <row r="268" spans="1:4" x14ac:dyDescent="0.25">
      <c r="A268" s="1">
        <v>46181</v>
      </c>
      <c r="B268" t="s">
        <v>238</v>
      </c>
      <c r="C268" t="s">
        <v>72</v>
      </c>
      <c r="D268" t="s">
        <v>359</v>
      </c>
    </row>
    <row r="269" spans="1:4" x14ac:dyDescent="0.25">
      <c r="A269" s="1">
        <v>46181</v>
      </c>
      <c r="B269" t="s">
        <v>320</v>
      </c>
      <c r="C269" t="s">
        <v>72</v>
      </c>
      <c r="D269" t="s">
        <v>359</v>
      </c>
    </row>
    <row r="270" spans="1:4" x14ac:dyDescent="0.25">
      <c r="A270" s="1">
        <v>46181</v>
      </c>
      <c r="B270" t="s">
        <v>244</v>
      </c>
      <c r="C270" t="s">
        <v>72</v>
      </c>
      <c r="D270" t="s">
        <v>359</v>
      </c>
    </row>
    <row r="271" spans="1:4" x14ac:dyDescent="0.25">
      <c r="A271" s="1">
        <v>46181</v>
      </c>
      <c r="B271" t="s">
        <v>332</v>
      </c>
      <c r="C271" t="s">
        <v>72</v>
      </c>
      <c r="D271" t="s">
        <v>359</v>
      </c>
    </row>
    <row r="272" spans="1:4" x14ac:dyDescent="0.25">
      <c r="A272" s="1">
        <v>46181</v>
      </c>
      <c r="B272" t="s">
        <v>326</v>
      </c>
      <c r="C272" t="s">
        <v>73</v>
      </c>
      <c r="D272" t="s">
        <v>356</v>
      </c>
    </row>
    <row r="273" spans="1:4" x14ac:dyDescent="0.25">
      <c r="A273" s="1">
        <v>46181</v>
      </c>
      <c r="B273" t="s">
        <v>334</v>
      </c>
      <c r="C273" t="s">
        <v>73</v>
      </c>
      <c r="D273" t="s">
        <v>357</v>
      </c>
    </row>
    <row r="274" spans="1:4" x14ac:dyDescent="0.25">
      <c r="A274" s="1">
        <v>46181</v>
      </c>
      <c r="B274" t="s">
        <v>275</v>
      </c>
      <c r="C274" t="s">
        <v>73</v>
      </c>
      <c r="D274" t="s">
        <v>358</v>
      </c>
    </row>
    <row r="275" spans="1:4" x14ac:dyDescent="0.25">
      <c r="A275" s="1">
        <v>46181</v>
      </c>
      <c r="B275" t="s">
        <v>570</v>
      </c>
      <c r="C275" t="s">
        <v>73</v>
      </c>
      <c r="D275" t="s">
        <v>358</v>
      </c>
    </row>
    <row r="276" spans="1:4" x14ac:dyDescent="0.25">
      <c r="A276" s="1">
        <v>46181</v>
      </c>
      <c r="B276" t="s">
        <v>433</v>
      </c>
      <c r="C276" t="s">
        <v>73</v>
      </c>
      <c r="D276" t="s">
        <v>358</v>
      </c>
    </row>
    <row r="277" spans="1:4" x14ac:dyDescent="0.25">
      <c r="A277" s="1">
        <v>46181</v>
      </c>
      <c r="B277" t="s">
        <v>434</v>
      </c>
      <c r="C277" t="s">
        <v>73</v>
      </c>
      <c r="D277" t="s">
        <v>358</v>
      </c>
    </row>
    <row r="278" spans="1:4" x14ac:dyDescent="0.25">
      <c r="A278" s="1">
        <v>46181</v>
      </c>
      <c r="B278" t="s">
        <v>591</v>
      </c>
      <c r="C278" t="s">
        <v>73</v>
      </c>
      <c r="D278" t="s">
        <v>358</v>
      </c>
    </row>
    <row r="279" spans="1:4" x14ac:dyDescent="0.25">
      <c r="A279" s="1">
        <v>46181</v>
      </c>
      <c r="B279" t="s">
        <v>291</v>
      </c>
      <c r="C279" t="s">
        <v>73</v>
      </c>
      <c r="D279" t="s">
        <v>358</v>
      </c>
    </row>
    <row r="280" spans="1:4" x14ac:dyDescent="0.25">
      <c r="A280" s="1">
        <v>46181</v>
      </c>
      <c r="B280" t="s">
        <v>248</v>
      </c>
      <c r="C280" t="s">
        <v>73</v>
      </c>
      <c r="D280" t="s">
        <v>358</v>
      </c>
    </row>
    <row r="281" spans="1:4" x14ac:dyDescent="0.25">
      <c r="A281" s="1">
        <v>46181</v>
      </c>
      <c r="B281" t="s">
        <v>615</v>
      </c>
      <c r="C281" t="s">
        <v>73</v>
      </c>
      <c r="D281" t="s">
        <v>358</v>
      </c>
    </row>
    <row r="282" spans="1:4" x14ac:dyDescent="0.25">
      <c r="A282" s="1">
        <v>46181</v>
      </c>
      <c r="B282" t="s">
        <v>619</v>
      </c>
      <c r="C282" t="s">
        <v>73</v>
      </c>
      <c r="D282" t="s">
        <v>358</v>
      </c>
    </row>
    <row r="283" spans="1:4" x14ac:dyDescent="0.25">
      <c r="A283" s="1">
        <v>46181</v>
      </c>
      <c r="B283" t="s">
        <v>196</v>
      </c>
      <c r="C283" t="s">
        <v>73</v>
      </c>
      <c r="D283" t="s">
        <v>359</v>
      </c>
    </row>
    <row r="284" spans="1:4" x14ac:dyDescent="0.25">
      <c r="A284" s="1">
        <v>46181</v>
      </c>
      <c r="B284" t="s">
        <v>437</v>
      </c>
      <c r="C284" t="s">
        <v>73</v>
      </c>
      <c r="D284" t="s">
        <v>359</v>
      </c>
    </row>
    <row r="285" spans="1:4" x14ac:dyDescent="0.25">
      <c r="A285" s="1">
        <v>46181</v>
      </c>
      <c r="B285" t="s">
        <v>340</v>
      </c>
      <c r="C285" t="s">
        <v>73</v>
      </c>
      <c r="D285" t="s">
        <v>359</v>
      </c>
    </row>
    <row r="286" spans="1:4" x14ac:dyDescent="0.25">
      <c r="A286" s="1">
        <v>46181</v>
      </c>
      <c r="B286" t="s">
        <v>282</v>
      </c>
      <c r="C286" t="s">
        <v>73</v>
      </c>
      <c r="D286" t="s">
        <v>359</v>
      </c>
    </row>
    <row r="287" spans="1:4" x14ac:dyDescent="0.25">
      <c r="A287" s="1">
        <v>46181</v>
      </c>
      <c r="B287" t="s">
        <v>212</v>
      </c>
      <c r="C287" t="s">
        <v>73</v>
      </c>
      <c r="D287" t="s">
        <v>359</v>
      </c>
    </row>
    <row r="288" spans="1:4" x14ac:dyDescent="0.25">
      <c r="A288" s="1">
        <v>46181</v>
      </c>
      <c r="B288" t="s">
        <v>582</v>
      </c>
      <c r="C288" t="s">
        <v>73</v>
      </c>
      <c r="D288" t="s">
        <v>359</v>
      </c>
    </row>
    <row r="289" spans="1:4" x14ac:dyDescent="0.25">
      <c r="A289" s="1">
        <v>46181</v>
      </c>
      <c r="B289" t="s">
        <v>223</v>
      </c>
      <c r="C289" t="s">
        <v>73</v>
      </c>
      <c r="D289" t="s">
        <v>359</v>
      </c>
    </row>
    <row r="290" spans="1:4" x14ac:dyDescent="0.25">
      <c r="A290" s="1">
        <v>46181</v>
      </c>
      <c r="B290" t="s">
        <v>289</v>
      </c>
      <c r="C290" t="s">
        <v>73</v>
      </c>
      <c r="D290" t="s">
        <v>359</v>
      </c>
    </row>
    <row r="291" spans="1:4" x14ac:dyDescent="0.25">
      <c r="A291" s="1">
        <v>46181</v>
      </c>
      <c r="B291" t="s">
        <v>675</v>
      </c>
      <c r="C291" t="s">
        <v>73</v>
      </c>
      <c r="D291" t="s">
        <v>359</v>
      </c>
    </row>
    <row r="292" spans="1:4" x14ac:dyDescent="0.25">
      <c r="A292" s="1">
        <v>46181</v>
      </c>
      <c r="B292" t="s">
        <v>227</v>
      </c>
      <c r="C292" t="s">
        <v>73</v>
      </c>
      <c r="D292" t="s">
        <v>359</v>
      </c>
    </row>
    <row r="293" spans="1:4" x14ac:dyDescent="0.25">
      <c r="A293" s="1">
        <v>46181</v>
      </c>
      <c r="B293" t="s">
        <v>264</v>
      </c>
      <c r="C293" t="s">
        <v>73</v>
      </c>
      <c r="D293" t="s">
        <v>359</v>
      </c>
    </row>
    <row r="294" spans="1:4" x14ac:dyDescent="0.25">
      <c r="A294" s="1">
        <v>46181</v>
      </c>
      <c r="B294" t="s">
        <v>397</v>
      </c>
      <c r="C294" t="s">
        <v>73</v>
      </c>
      <c r="D294" t="s">
        <v>359</v>
      </c>
    </row>
    <row r="295" spans="1:4" x14ac:dyDescent="0.25">
      <c r="A295" s="1">
        <v>46181</v>
      </c>
      <c r="B295" t="s">
        <v>265</v>
      </c>
      <c r="C295" t="s">
        <v>73</v>
      </c>
      <c r="D295" t="s">
        <v>359</v>
      </c>
    </row>
    <row r="296" spans="1:4" x14ac:dyDescent="0.25">
      <c r="A296" s="1">
        <v>46181</v>
      </c>
      <c r="B296" t="s">
        <v>251</v>
      </c>
      <c r="C296" t="s">
        <v>73</v>
      </c>
      <c r="D296" t="s">
        <v>359</v>
      </c>
    </row>
    <row r="297" spans="1:4" x14ac:dyDescent="0.25">
      <c r="A297" s="1">
        <v>46181</v>
      </c>
      <c r="B297" t="s">
        <v>327</v>
      </c>
      <c r="C297" t="s">
        <v>73</v>
      </c>
      <c r="D297" t="s">
        <v>359</v>
      </c>
    </row>
    <row r="298" spans="1:4" x14ac:dyDescent="0.25">
      <c r="A298" s="1">
        <v>46181</v>
      </c>
      <c r="B298" t="s">
        <v>330</v>
      </c>
      <c r="C298" t="s">
        <v>73</v>
      </c>
      <c r="D298" t="s">
        <v>359</v>
      </c>
    </row>
    <row r="299" spans="1:4" x14ac:dyDescent="0.25">
      <c r="A299" s="1">
        <v>46181</v>
      </c>
      <c r="B299" t="s">
        <v>451</v>
      </c>
      <c r="C299" t="s">
        <v>73</v>
      </c>
      <c r="D299" t="s">
        <v>359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37380-849D-4AF1-ABDA-646485D3FB19}">
  <sheetPr codeName="Sheet8" filterMode="1"/>
  <dimension ref="A1:T49"/>
  <sheetViews>
    <sheetView workbookViewId="0">
      <selection activeCell="A8" sqref="A8"/>
    </sheetView>
  </sheetViews>
  <sheetFormatPr defaultRowHeight="15" x14ac:dyDescent="0.25"/>
  <cols>
    <col min="3" max="3" width="29" customWidth="1"/>
  </cols>
  <sheetData>
    <row r="1" spans="1:20" x14ac:dyDescent="0.25">
      <c r="A1" s="175" t="s">
        <v>162</v>
      </c>
      <c r="B1" s="175"/>
      <c r="C1" s="175"/>
      <c r="D1" s="61"/>
      <c r="E1" s="61"/>
      <c r="F1" s="176" t="s">
        <v>354</v>
      </c>
      <c r="G1" s="176"/>
      <c r="H1" s="176"/>
      <c r="I1" s="61"/>
      <c r="J1" s="61"/>
      <c r="K1" s="175" t="s">
        <v>163</v>
      </c>
      <c r="L1" s="175"/>
      <c r="M1" s="175"/>
      <c r="N1" s="61"/>
      <c r="O1" s="61"/>
      <c r="P1" s="61"/>
      <c r="Q1" s="61"/>
      <c r="R1" s="61"/>
      <c r="S1" s="61"/>
      <c r="T1" s="61"/>
    </row>
    <row r="2" spans="1:20" x14ac:dyDescent="0.25">
      <c r="A2" s="61" t="s">
        <v>466</v>
      </c>
      <c r="B2" s="61" t="s">
        <v>203</v>
      </c>
      <c r="C2" s="61" t="s">
        <v>550</v>
      </c>
      <c r="D2" s="61"/>
      <c r="E2" s="61"/>
      <c r="F2" s="61" t="s">
        <v>466</v>
      </c>
      <c r="G2" s="61" t="s">
        <v>467</v>
      </c>
      <c r="H2" s="61" t="s">
        <v>550</v>
      </c>
      <c r="I2" s="61"/>
      <c r="J2" s="61"/>
      <c r="K2" s="61" t="s">
        <v>466</v>
      </c>
      <c r="L2" s="61" t="s">
        <v>467</v>
      </c>
      <c r="M2" s="61" t="s">
        <v>550</v>
      </c>
      <c r="N2" s="61"/>
      <c r="O2" s="61"/>
      <c r="P2" s="61"/>
      <c r="Q2" s="61"/>
      <c r="R2" s="61"/>
      <c r="S2" s="61"/>
      <c r="T2" s="61"/>
    </row>
    <row r="3" spans="1:20" x14ac:dyDescent="0.25">
      <c r="A3" s="61" t="s">
        <v>513</v>
      </c>
      <c r="B3" s="61">
        <v>0</v>
      </c>
      <c r="C3" s="61" t="s">
        <v>460</v>
      </c>
      <c r="D3" s="61"/>
      <c r="E3" s="61"/>
      <c r="F3" s="61" t="s">
        <v>469</v>
      </c>
      <c r="G3" s="61">
        <v>0</v>
      </c>
      <c r="H3" s="61" t="s">
        <v>352</v>
      </c>
      <c r="I3" s="61"/>
      <c r="J3" s="61"/>
      <c r="K3" s="61" t="s">
        <v>470</v>
      </c>
      <c r="L3" s="61">
        <v>0</v>
      </c>
      <c r="M3" s="61" t="s">
        <v>351</v>
      </c>
      <c r="N3" s="61"/>
      <c r="O3" s="61"/>
      <c r="P3" s="61"/>
      <c r="Q3" s="61"/>
      <c r="R3" s="61"/>
      <c r="S3" s="61"/>
      <c r="T3" s="61"/>
    </row>
    <row r="4" spans="1:20" x14ac:dyDescent="0.25">
      <c r="A4" s="61" t="s">
        <v>510</v>
      </c>
      <c r="B4" s="61">
        <v>0</v>
      </c>
      <c r="C4" s="61" t="s">
        <v>239</v>
      </c>
      <c r="D4" s="61"/>
      <c r="E4" s="61"/>
      <c r="F4" s="61" t="s">
        <v>472</v>
      </c>
      <c r="G4" s="61">
        <v>0</v>
      </c>
      <c r="H4" s="61" t="s">
        <v>430</v>
      </c>
      <c r="I4" s="61"/>
      <c r="J4" s="61"/>
      <c r="K4" s="61" t="s">
        <v>473</v>
      </c>
      <c r="L4" s="61">
        <v>0</v>
      </c>
      <c r="M4" s="61" t="s">
        <v>229</v>
      </c>
      <c r="N4" s="61"/>
      <c r="O4" s="61"/>
      <c r="P4" s="61"/>
      <c r="Q4" s="61"/>
      <c r="R4" s="61"/>
      <c r="S4" s="61"/>
      <c r="T4" s="61"/>
    </row>
    <row r="5" spans="1:20" x14ac:dyDescent="0.25">
      <c r="A5" s="61" t="s">
        <v>507</v>
      </c>
      <c r="B5" s="61">
        <v>0</v>
      </c>
      <c r="C5" s="61" t="s">
        <v>307</v>
      </c>
      <c r="D5" s="61"/>
      <c r="E5" s="61"/>
      <c r="F5" s="61" t="s">
        <v>475</v>
      </c>
      <c r="G5" s="61">
        <v>0</v>
      </c>
      <c r="H5" s="61" t="s">
        <v>652</v>
      </c>
      <c r="I5" s="61"/>
      <c r="J5" s="61"/>
      <c r="K5" s="61" t="s">
        <v>476</v>
      </c>
      <c r="L5" s="61">
        <v>0</v>
      </c>
      <c r="M5" s="61" t="s">
        <v>233</v>
      </c>
      <c r="N5" s="61"/>
      <c r="O5" s="61"/>
      <c r="P5" s="61"/>
      <c r="Q5" s="61"/>
      <c r="R5" s="61"/>
      <c r="S5" s="61"/>
      <c r="T5" s="61"/>
    </row>
    <row r="6" spans="1:20" x14ac:dyDescent="0.25">
      <c r="A6" s="61" t="s">
        <v>504</v>
      </c>
      <c r="B6" s="61">
        <v>0</v>
      </c>
      <c r="C6" s="61" t="s">
        <v>246</v>
      </c>
      <c r="D6" s="61"/>
      <c r="E6" s="61"/>
      <c r="F6" s="61" t="s">
        <v>478</v>
      </c>
      <c r="G6" s="61">
        <v>0</v>
      </c>
      <c r="H6" s="61" t="s">
        <v>564</v>
      </c>
      <c r="I6" s="61"/>
      <c r="J6" s="61"/>
      <c r="K6" s="61" t="s">
        <v>479</v>
      </c>
      <c r="L6" s="61" t="s">
        <v>467</v>
      </c>
      <c r="M6" s="61" t="s">
        <v>467</v>
      </c>
      <c r="N6" s="61"/>
      <c r="O6" s="61"/>
      <c r="P6" s="61"/>
      <c r="Q6" s="61"/>
      <c r="R6" s="61"/>
      <c r="S6" s="61"/>
      <c r="T6" s="61"/>
    </row>
    <row r="7" spans="1:20" x14ac:dyDescent="0.25">
      <c r="A7" s="61" t="s">
        <v>501</v>
      </c>
      <c r="B7" s="61">
        <v>0</v>
      </c>
      <c r="C7" s="61" t="s">
        <v>402</v>
      </c>
      <c r="D7" s="61"/>
      <c r="E7" s="61"/>
      <c r="F7" s="61" t="s">
        <v>481</v>
      </c>
      <c r="G7" s="61">
        <v>0</v>
      </c>
      <c r="H7" s="61" t="s">
        <v>431</v>
      </c>
      <c r="I7" s="61"/>
      <c r="J7" s="61"/>
      <c r="K7" s="61" t="s">
        <v>482</v>
      </c>
      <c r="L7" s="61">
        <v>0</v>
      </c>
      <c r="M7" s="61" t="s">
        <v>736</v>
      </c>
      <c r="N7" s="61"/>
      <c r="O7" s="61"/>
      <c r="P7" s="61"/>
      <c r="Q7" s="61"/>
      <c r="R7" s="61"/>
      <c r="S7" s="61"/>
      <c r="T7" s="61"/>
    </row>
    <row r="8" spans="1:20" x14ac:dyDescent="0.25">
      <c r="A8" s="61" t="s">
        <v>498</v>
      </c>
      <c r="B8" s="61">
        <v>0</v>
      </c>
      <c r="C8" s="61" t="s">
        <v>257</v>
      </c>
      <c r="D8" s="61"/>
      <c r="E8" s="61"/>
      <c r="F8" s="61" t="s">
        <v>484</v>
      </c>
      <c r="G8" s="61">
        <v>0</v>
      </c>
      <c r="H8" s="61" t="s">
        <v>435</v>
      </c>
      <c r="I8" s="61"/>
      <c r="J8" s="61"/>
      <c r="K8" s="61" t="s">
        <v>485</v>
      </c>
      <c r="L8" s="61">
        <v>0</v>
      </c>
      <c r="M8" s="61" t="s">
        <v>699</v>
      </c>
      <c r="N8" s="61"/>
      <c r="O8" s="61"/>
      <c r="P8" s="61"/>
      <c r="Q8" s="61"/>
      <c r="R8" s="61"/>
      <c r="S8" s="61"/>
      <c r="T8" s="61"/>
    </row>
    <row r="9" spans="1:20" x14ac:dyDescent="0.25">
      <c r="A9" s="61" t="s">
        <v>495</v>
      </c>
      <c r="B9" s="61">
        <v>0</v>
      </c>
      <c r="C9" s="61" t="s">
        <v>552</v>
      </c>
      <c r="D9" s="61"/>
      <c r="E9" s="61"/>
      <c r="F9" s="61" t="s">
        <v>487</v>
      </c>
      <c r="G9" s="61">
        <v>0</v>
      </c>
      <c r="H9" s="61" t="s">
        <v>207</v>
      </c>
      <c r="I9" s="61"/>
      <c r="J9" s="61"/>
      <c r="K9" s="61" t="s">
        <v>488</v>
      </c>
      <c r="L9" s="61">
        <v>0</v>
      </c>
      <c r="M9" s="61" t="s">
        <v>552</v>
      </c>
      <c r="N9" s="61"/>
      <c r="O9" s="61"/>
      <c r="P9" s="61"/>
      <c r="Q9" s="61"/>
      <c r="R9" s="61"/>
      <c r="S9" s="61"/>
      <c r="T9" s="61"/>
    </row>
    <row r="10" spans="1:20" x14ac:dyDescent="0.25">
      <c r="A10" s="61" t="s">
        <v>492</v>
      </c>
      <c r="B10" s="61">
        <v>0</v>
      </c>
      <c r="C10" s="61" t="s">
        <v>552</v>
      </c>
      <c r="D10" s="61"/>
      <c r="E10" s="61"/>
      <c r="F10" s="61" t="s">
        <v>490</v>
      </c>
      <c r="G10" s="61">
        <v>0</v>
      </c>
      <c r="H10" s="61" t="s">
        <v>453</v>
      </c>
      <c r="I10" s="61"/>
      <c r="J10" s="61"/>
      <c r="K10" s="61" t="s">
        <v>491</v>
      </c>
      <c r="L10" s="61">
        <v>0</v>
      </c>
      <c r="M10" s="61" t="s">
        <v>552</v>
      </c>
      <c r="N10" s="61"/>
      <c r="O10" s="61"/>
      <c r="P10" s="61"/>
      <c r="Q10" s="61"/>
      <c r="R10" s="61"/>
      <c r="S10" s="61"/>
      <c r="T10" s="61"/>
    </row>
    <row r="11" spans="1:20" x14ac:dyDescent="0.25">
      <c r="A11" s="61" t="s">
        <v>489</v>
      </c>
      <c r="B11" s="61" t="s">
        <v>467</v>
      </c>
      <c r="C11" s="61" t="s">
        <v>467</v>
      </c>
      <c r="D11" s="61"/>
      <c r="E11" s="61"/>
      <c r="F11" s="61" t="s">
        <v>493</v>
      </c>
      <c r="G11" s="61">
        <v>0</v>
      </c>
      <c r="H11" s="61" t="s">
        <v>578</v>
      </c>
      <c r="I11" s="61"/>
      <c r="J11" s="61"/>
      <c r="K11" s="61" t="s">
        <v>494</v>
      </c>
      <c r="L11" s="61">
        <v>0</v>
      </c>
      <c r="M11" s="61" t="s">
        <v>552</v>
      </c>
      <c r="N11" s="61"/>
      <c r="O11" s="61"/>
      <c r="P11" s="61"/>
      <c r="Q11" s="61"/>
      <c r="R11" s="61"/>
      <c r="S11" s="61"/>
      <c r="T11" s="61"/>
    </row>
    <row r="12" spans="1:20" x14ac:dyDescent="0.25">
      <c r="A12" s="61" t="s">
        <v>486</v>
      </c>
      <c r="B12" s="61">
        <v>0</v>
      </c>
      <c r="C12" s="61" t="s">
        <v>552</v>
      </c>
      <c r="D12" s="61"/>
      <c r="E12" s="61"/>
      <c r="F12" s="61" t="s">
        <v>496</v>
      </c>
      <c r="G12" s="61">
        <v>0</v>
      </c>
      <c r="H12" s="61" t="s">
        <v>345</v>
      </c>
      <c r="I12" s="61"/>
      <c r="J12" s="61"/>
      <c r="K12" s="61" t="s">
        <v>497</v>
      </c>
      <c r="L12" s="61">
        <v>0</v>
      </c>
      <c r="M12" s="61" t="s">
        <v>552</v>
      </c>
      <c r="N12" s="61"/>
      <c r="O12" s="61"/>
      <c r="P12" s="61"/>
      <c r="Q12" s="61"/>
      <c r="R12" s="61"/>
      <c r="S12" s="61"/>
      <c r="T12" s="61"/>
    </row>
    <row r="13" spans="1:20" hidden="1" x14ac:dyDescent="0.25">
      <c r="A13" s="61" t="s">
        <v>483</v>
      </c>
      <c r="B13" s="61">
        <v>0</v>
      </c>
      <c r="C13" s="61" t="s">
        <v>552</v>
      </c>
      <c r="D13" s="61"/>
      <c r="E13" s="61"/>
      <c r="F13" s="61" t="s">
        <v>499</v>
      </c>
      <c r="G13" s="61" t="s">
        <v>467</v>
      </c>
      <c r="H13" s="61" t="s">
        <v>467</v>
      </c>
      <c r="I13" s="61"/>
      <c r="J13" s="61"/>
      <c r="K13" s="61" t="s">
        <v>500</v>
      </c>
      <c r="L13" s="61">
        <v>0</v>
      </c>
      <c r="M13" s="61" t="s">
        <v>552</v>
      </c>
      <c r="N13" s="61"/>
      <c r="O13" s="61"/>
      <c r="P13" s="61"/>
      <c r="Q13" s="61"/>
      <c r="R13" s="61"/>
      <c r="S13" s="61"/>
      <c r="T13" s="61"/>
    </row>
    <row r="14" spans="1:20" x14ac:dyDescent="0.25">
      <c r="A14" s="61" t="s">
        <v>480</v>
      </c>
      <c r="B14" s="61">
        <v>0</v>
      </c>
      <c r="C14" s="61" t="s">
        <v>552</v>
      </c>
      <c r="D14" s="61"/>
      <c r="E14" s="61"/>
      <c r="F14" s="61" t="s">
        <v>502</v>
      </c>
      <c r="G14" s="61">
        <v>0</v>
      </c>
      <c r="H14" s="61" t="s">
        <v>284</v>
      </c>
      <c r="I14" s="61"/>
      <c r="J14" s="61"/>
      <c r="K14" s="61" t="s">
        <v>503</v>
      </c>
      <c r="L14" s="61">
        <v>0</v>
      </c>
      <c r="M14" s="61" t="s">
        <v>552</v>
      </c>
      <c r="N14" s="61"/>
      <c r="O14" s="61"/>
      <c r="P14" s="61"/>
      <c r="Q14" s="61"/>
      <c r="R14" s="61"/>
      <c r="S14" s="61"/>
      <c r="T14" s="61"/>
    </row>
    <row r="15" spans="1:20" x14ac:dyDescent="0.25">
      <c r="A15" s="61" t="s">
        <v>477</v>
      </c>
      <c r="B15" s="61">
        <v>0</v>
      </c>
      <c r="C15" s="61" t="s">
        <v>552</v>
      </c>
      <c r="D15" s="61"/>
      <c r="E15" s="61"/>
      <c r="F15" s="61" t="s">
        <v>505</v>
      </c>
      <c r="G15" s="61">
        <v>0</v>
      </c>
      <c r="H15" s="61" t="s">
        <v>286</v>
      </c>
      <c r="I15" s="61"/>
      <c r="J15" s="61"/>
      <c r="K15" s="61" t="s">
        <v>506</v>
      </c>
      <c r="L15" s="61">
        <v>0</v>
      </c>
      <c r="M15" s="61" t="s">
        <v>552</v>
      </c>
      <c r="N15" s="61"/>
      <c r="O15" s="61"/>
      <c r="P15" s="61"/>
      <c r="Q15" s="61"/>
      <c r="R15" s="61"/>
      <c r="S15" s="61"/>
      <c r="T15" s="61"/>
    </row>
    <row r="16" spans="1:20" x14ac:dyDescent="0.25">
      <c r="A16" s="61" t="s">
        <v>474</v>
      </c>
      <c r="B16" s="61">
        <v>0</v>
      </c>
      <c r="C16" s="61" t="s">
        <v>552</v>
      </c>
      <c r="D16" s="61"/>
      <c r="E16" s="61"/>
      <c r="F16" s="61" t="s">
        <v>508</v>
      </c>
      <c r="G16" s="61">
        <v>0</v>
      </c>
      <c r="H16" s="61" t="s">
        <v>287</v>
      </c>
      <c r="I16" s="61"/>
      <c r="J16" s="61"/>
      <c r="K16" s="61" t="s">
        <v>509</v>
      </c>
      <c r="L16" s="61" t="s">
        <v>467</v>
      </c>
      <c r="M16" s="61" t="s">
        <v>467</v>
      </c>
      <c r="N16" s="61"/>
      <c r="O16" s="61"/>
      <c r="P16" s="61"/>
      <c r="Q16" s="61"/>
      <c r="R16" s="61"/>
      <c r="S16" s="61"/>
      <c r="T16" s="61"/>
    </row>
    <row r="17" spans="1:20" x14ac:dyDescent="0.25">
      <c r="A17" s="61" t="s">
        <v>471</v>
      </c>
      <c r="B17" s="61">
        <v>0</v>
      </c>
      <c r="C17" s="61" t="s">
        <v>552</v>
      </c>
      <c r="D17" s="61"/>
      <c r="E17" s="61"/>
      <c r="F17" s="61" t="s">
        <v>511</v>
      </c>
      <c r="G17" s="61">
        <v>0</v>
      </c>
      <c r="H17" s="61" t="s">
        <v>290</v>
      </c>
      <c r="I17" s="61"/>
      <c r="J17" s="61"/>
      <c r="K17" s="61" t="s">
        <v>512</v>
      </c>
      <c r="L17" s="61">
        <v>0</v>
      </c>
      <c r="M17" s="61" t="s">
        <v>552</v>
      </c>
      <c r="N17" s="61"/>
      <c r="O17" s="61"/>
      <c r="P17" s="61"/>
      <c r="Q17" s="61"/>
      <c r="R17" s="61"/>
      <c r="S17" s="61"/>
      <c r="T17" s="61"/>
    </row>
    <row r="18" spans="1:20" x14ac:dyDescent="0.25">
      <c r="A18" s="61" t="s">
        <v>468</v>
      </c>
      <c r="B18" s="61">
        <v>0</v>
      </c>
      <c r="C18" s="61" t="s">
        <v>552</v>
      </c>
      <c r="D18" s="61"/>
      <c r="E18" s="61"/>
      <c r="F18" s="61" t="s">
        <v>514</v>
      </c>
      <c r="G18" s="61">
        <v>0</v>
      </c>
      <c r="H18" s="61" t="s">
        <v>226</v>
      </c>
      <c r="I18" s="61"/>
      <c r="J18" s="61"/>
      <c r="K18" s="61" t="s">
        <v>515</v>
      </c>
      <c r="L18" s="61">
        <v>0</v>
      </c>
      <c r="M18" s="61" t="s">
        <v>552</v>
      </c>
      <c r="N18" s="61"/>
      <c r="O18" s="61"/>
      <c r="P18" s="61"/>
      <c r="Q18" s="61"/>
      <c r="R18" s="61"/>
      <c r="S18" s="61"/>
      <c r="T18" s="61"/>
    </row>
    <row r="19" spans="1:20" x14ac:dyDescent="0.25">
      <c r="A19" s="61"/>
      <c r="B19" s="61"/>
      <c r="C19" s="61"/>
      <c r="D19" s="61"/>
      <c r="E19" s="61"/>
      <c r="F19" s="61" t="s">
        <v>516</v>
      </c>
      <c r="G19" s="61">
        <v>0</v>
      </c>
      <c r="H19" s="61" t="s">
        <v>342</v>
      </c>
      <c r="I19" s="61"/>
      <c r="J19" s="61"/>
      <c r="K19" s="61" t="s">
        <v>517</v>
      </c>
      <c r="L19" s="61" t="s">
        <v>467</v>
      </c>
      <c r="M19" s="61" t="s">
        <v>467</v>
      </c>
      <c r="N19" s="61"/>
      <c r="O19" s="61"/>
      <c r="P19" s="61"/>
      <c r="Q19" s="61"/>
      <c r="R19" s="61"/>
      <c r="S19" s="61"/>
      <c r="T19" s="61"/>
    </row>
    <row r="20" spans="1:20" x14ac:dyDescent="0.25">
      <c r="A20" s="61"/>
      <c r="B20" s="61"/>
      <c r="C20" s="61"/>
      <c r="D20" s="61"/>
      <c r="E20" s="61"/>
      <c r="F20" s="61" t="s">
        <v>518</v>
      </c>
      <c r="G20" s="61">
        <v>0</v>
      </c>
      <c r="H20" s="61" t="s">
        <v>292</v>
      </c>
      <c r="I20" s="61"/>
      <c r="J20" s="61"/>
      <c r="K20" s="61" t="s">
        <v>519</v>
      </c>
      <c r="L20" s="61" t="s">
        <v>467</v>
      </c>
      <c r="M20" s="61" t="s">
        <v>467</v>
      </c>
      <c r="N20" s="61"/>
      <c r="O20" s="61"/>
      <c r="P20" s="61"/>
      <c r="Q20" s="61"/>
      <c r="R20" s="61"/>
      <c r="S20" s="61"/>
      <c r="T20" s="61"/>
    </row>
    <row r="21" spans="1:20" x14ac:dyDescent="0.25">
      <c r="A21" s="61"/>
      <c r="B21" s="61"/>
      <c r="C21" s="61"/>
      <c r="D21" s="61"/>
      <c r="E21" s="61"/>
      <c r="F21" s="61" t="s">
        <v>520</v>
      </c>
      <c r="G21" s="61">
        <v>0</v>
      </c>
      <c r="H21" s="61" t="s">
        <v>293</v>
      </c>
      <c r="I21" s="61"/>
      <c r="J21" s="61"/>
      <c r="K21" s="61" t="s">
        <v>521</v>
      </c>
      <c r="L21" s="61">
        <v>0</v>
      </c>
      <c r="M21" s="61" t="s">
        <v>552</v>
      </c>
      <c r="N21" s="61"/>
      <c r="O21" s="61"/>
      <c r="P21" s="61"/>
      <c r="Q21" s="61"/>
      <c r="R21" s="61"/>
      <c r="S21" s="61"/>
      <c r="T21" s="61"/>
    </row>
    <row r="22" spans="1:20" hidden="1" x14ac:dyDescent="0.25">
      <c r="A22" s="61"/>
      <c r="B22" s="61"/>
      <c r="C22" s="61"/>
      <c r="D22" s="61"/>
      <c r="E22" s="61"/>
      <c r="F22" s="61" t="s">
        <v>522</v>
      </c>
      <c r="G22" s="61" t="s">
        <v>467</v>
      </c>
      <c r="H22" s="61" t="s">
        <v>467</v>
      </c>
      <c r="I22" s="61"/>
      <c r="J22" s="61"/>
      <c r="K22" s="61" t="s">
        <v>523</v>
      </c>
      <c r="L22" s="61">
        <v>0</v>
      </c>
      <c r="M22" s="61" t="s">
        <v>552</v>
      </c>
      <c r="N22" s="61"/>
      <c r="O22" s="61"/>
      <c r="P22" s="61"/>
      <c r="Q22" s="61"/>
      <c r="R22" s="61"/>
      <c r="S22" s="61"/>
      <c r="T22" s="61"/>
    </row>
    <row r="23" spans="1:20" x14ac:dyDescent="0.25">
      <c r="A23" s="61"/>
      <c r="B23" s="61"/>
      <c r="C23" s="61"/>
      <c r="D23" s="61"/>
      <c r="E23" s="61"/>
      <c r="F23" s="61" t="s">
        <v>524</v>
      </c>
      <c r="G23" s="61">
        <v>0</v>
      </c>
      <c r="H23" s="61" t="s">
        <v>425</v>
      </c>
      <c r="I23" s="61"/>
      <c r="J23" s="61"/>
      <c r="K23" s="61" t="s">
        <v>525</v>
      </c>
      <c r="L23" s="61">
        <v>0</v>
      </c>
      <c r="M23" s="61" t="s">
        <v>552</v>
      </c>
      <c r="N23" s="61"/>
      <c r="O23" s="61"/>
      <c r="P23" s="61"/>
      <c r="Q23" s="61"/>
      <c r="R23" s="61"/>
      <c r="S23" s="61"/>
      <c r="T23" s="61"/>
    </row>
    <row r="24" spans="1:20" x14ac:dyDescent="0.25">
      <c r="A24" s="61"/>
      <c r="B24" s="61"/>
      <c r="C24" s="61"/>
      <c r="D24" s="61"/>
      <c r="E24" s="61"/>
      <c r="F24" s="61" t="s">
        <v>526</v>
      </c>
      <c r="G24" s="61">
        <v>0</v>
      </c>
      <c r="H24" s="61" t="s">
        <v>338</v>
      </c>
      <c r="I24" s="61"/>
      <c r="J24" s="61"/>
      <c r="K24" s="61" t="s">
        <v>527</v>
      </c>
      <c r="L24" s="61">
        <v>0</v>
      </c>
      <c r="M24" s="61" t="s">
        <v>552</v>
      </c>
      <c r="N24" s="61"/>
      <c r="O24" s="61"/>
      <c r="P24" s="61"/>
      <c r="Q24" s="61"/>
      <c r="R24" s="61"/>
      <c r="S24" s="61"/>
      <c r="T24" s="61"/>
    </row>
    <row r="25" spans="1:20" x14ac:dyDescent="0.25">
      <c r="A25" s="61"/>
      <c r="B25" s="61"/>
      <c r="C25" s="61"/>
      <c r="D25" s="61"/>
      <c r="E25" s="61"/>
      <c r="F25" s="61" t="s">
        <v>528</v>
      </c>
      <c r="G25" s="61">
        <v>0</v>
      </c>
      <c r="H25" s="61" t="s">
        <v>296</v>
      </c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</row>
    <row r="26" spans="1:20" x14ac:dyDescent="0.25">
      <c r="A26" s="61"/>
      <c r="B26" s="61"/>
      <c r="C26" s="61"/>
      <c r="D26" s="61"/>
      <c r="E26" s="61"/>
      <c r="F26" s="61" t="s">
        <v>529</v>
      </c>
      <c r="G26" s="61">
        <v>0</v>
      </c>
      <c r="H26" s="61" t="s">
        <v>339</v>
      </c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</row>
    <row r="27" spans="1:20" x14ac:dyDescent="0.25">
      <c r="A27" s="61"/>
      <c r="B27" s="61"/>
      <c r="C27" s="61"/>
      <c r="D27" s="61"/>
      <c r="E27" s="61"/>
      <c r="F27" s="61" t="s">
        <v>530</v>
      </c>
      <c r="G27" s="61">
        <v>0</v>
      </c>
      <c r="H27" s="61" t="s">
        <v>297</v>
      </c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</row>
    <row r="28" spans="1:20" x14ac:dyDescent="0.25">
      <c r="A28" s="61"/>
      <c r="B28" s="61"/>
      <c r="C28" s="61"/>
      <c r="D28" s="61"/>
      <c r="E28" s="61"/>
      <c r="F28" s="61" t="s">
        <v>531</v>
      </c>
      <c r="G28" s="61">
        <v>0</v>
      </c>
      <c r="H28" s="61" t="s">
        <v>298</v>
      </c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</row>
    <row r="29" spans="1:20" x14ac:dyDescent="0.25">
      <c r="A29" s="61"/>
      <c r="B29" s="61"/>
      <c r="C29" s="61"/>
      <c r="D29" s="61"/>
      <c r="E29" s="61"/>
      <c r="F29" s="61" t="s">
        <v>532</v>
      </c>
      <c r="G29" s="61">
        <v>0</v>
      </c>
      <c r="H29" s="61" t="s">
        <v>230</v>
      </c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</row>
    <row r="30" spans="1:20" hidden="1" x14ac:dyDescent="0.25">
      <c r="A30" s="61"/>
      <c r="B30" s="61"/>
      <c r="C30" s="61"/>
      <c r="D30" s="61"/>
      <c r="E30" s="61"/>
      <c r="F30" s="61" t="s">
        <v>533</v>
      </c>
      <c r="G30" s="61" t="s">
        <v>467</v>
      </c>
      <c r="H30" s="61" t="s">
        <v>467</v>
      </c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</row>
    <row r="31" spans="1:20" x14ac:dyDescent="0.25">
      <c r="A31" s="61"/>
      <c r="B31" s="61"/>
      <c r="C31" s="61"/>
      <c r="D31" s="61"/>
      <c r="E31" s="61"/>
      <c r="F31" s="61" t="s">
        <v>534</v>
      </c>
      <c r="G31" s="61">
        <v>0</v>
      </c>
      <c r="H31" s="61" t="s">
        <v>299</v>
      </c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</row>
    <row r="32" spans="1:20" x14ac:dyDescent="0.25">
      <c r="A32" s="61"/>
      <c r="B32" s="61"/>
      <c r="C32" s="61"/>
      <c r="D32" s="61"/>
      <c r="E32" s="61"/>
      <c r="F32" s="61" t="s">
        <v>535</v>
      </c>
      <c r="G32" s="61">
        <v>0</v>
      </c>
      <c r="H32" s="61" t="s">
        <v>442</v>
      </c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</row>
    <row r="33" spans="1:20" x14ac:dyDescent="0.25">
      <c r="A33" s="61"/>
      <c r="B33" s="61"/>
      <c r="C33" s="61"/>
      <c r="D33" s="61"/>
      <c r="E33" s="61"/>
      <c r="F33" s="61" t="s">
        <v>536</v>
      </c>
      <c r="G33" s="61">
        <v>0</v>
      </c>
      <c r="H33" s="61" t="s">
        <v>304</v>
      </c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</row>
    <row r="34" spans="1:20" x14ac:dyDescent="0.25">
      <c r="A34" s="61"/>
      <c r="B34" s="61"/>
      <c r="C34" s="61"/>
      <c r="D34" s="61"/>
      <c r="E34" s="61"/>
      <c r="F34" s="61" t="s">
        <v>537</v>
      </c>
      <c r="G34" s="61">
        <v>0</v>
      </c>
      <c r="H34" s="61" t="s">
        <v>343</v>
      </c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</row>
    <row r="35" spans="1:20" x14ac:dyDescent="0.25">
      <c r="A35" s="61"/>
      <c r="B35" s="61"/>
      <c r="C35" s="61"/>
      <c r="D35" s="61"/>
      <c r="E35" s="61"/>
      <c r="F35" s="61" t="s">
        <v>538</v>
      </c>
      <c r="G35" s="61">
        <v>0</v>
      </c>
      <c r="H35" s="61" t="s">
        <v>739</v>
      </c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</row>
    <row r="36" spans="1:20" x14ac:dyDescent="0.25">
      <c r="A36" s="61"/>
      <c r="B36" s="61"/>
      <c r="C36" s="61"/>
      <c r="D36" s="61"/>
      <c r="E36" s="61"/>
      <c r="F36" s="61" t="s">
        <v>539</v>
      </c>
      <c r="G36" s="61">
        <v>0</v>
      </c>
      <c r="H36" s="61" t="s">
        <v>456</v>
      </c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</row>
    <row r="37" spans="1:20" x14ac:dyDescent="0.25">
      <c r="A37" s="61"/>
      <c r="B37" s="61"/>
      <c r="C37" s="61"/>
      <c r="D37" s="61"/>
      <c r="E37" s="61"/>
      <c r="F37" s="61" t="s">
        <v>540</v>
      </c>
      <c r="G37" s="61">
        <v>0</v>
      </c>
      <c r="H37" s="61" t="s">
        <v>427</v>
      </c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</row>
    <row r="38" spans="1:20" x14ac:dyDescent="0.25">
      <c r="A38" s="61"/>
      <c r="B38" s="61"/>
      <c r="C38" s="61"/>
      <c r="D38" s="61"/>
      <c r="E38" s="61"/>
      <c r="F38" s="61" t="s">
        <v>541</v>
      </c>
      <c r="G38" s="61">
        <v>0</v>
      </c>
      <c r="H38" s="61" t="s">
        <v>318</v>
      </c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</row>
    <row r="39" spans="1:20" x14ac:dyDescent="0.25">
      <c r="A39" s="61"/>
      <c r="B39" s="61"/>
      <c r="C39" s="61"/>
      <c r="D39" s="61"/>
      <c r="E39" s="61"/>
      <c r="F39" s="61" t="s">
        <v>542</v>
      </c>
      <c r="G39" s="61">
        <v>0</v>
      </c>
      <c r="H39" s="61" t="s">
        <v>321</v>
      </c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</row>
    <row r="40" spans="1:20" x14ac:dyDescent="0.25">
      <c r="A40" s="61"/>
      <c r="B40" s="61"/>
      <c r="C40" s="61"/>
      <c r="D40" s="61"/>
      <c r="E40" s="61"/>
      <c r="F40" s="61" t="s">
        <v>543</v>
      </c>
      <c r="G40" s="61">
        <v>0</v>
      </c>
      <c r="H40" s="61" t="s">
        <v>341</v>
      </c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</row>
    <row r="41" spans="1:20" x14ac:dyDescent="0.25">
      <c r="A41" s="61"/>
      <c r="B41" s="61"/>
      <c r="C41" s="61"/>
      <c r="D41" s="61"/>
      <c r="E41" s="61"/>
      <c r="F41" s="61" t="s">
        <v>544</v>
      </c>
      <c r="G41" s="61">
        <v>0</v>
      </c>
      <c r="H41" s="61" t="s">
        <v>269</v>
      </c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</row>
    <row r="42" spans="1:20" hidden="1" x14ac:dyDescent="0.25">
      <c r="A42" s="61"/>
      <c r="B42" s="61"/>
      <c r="C42" s="61"/>
      <c r="D42" s="61"/>
      <c r="E42" s="61"/>
      <c r="F42" s="61" t="s">
        <v>545</v>
      </c>
      <c r="G42" s="61">
        <v>0</v>
      </c>
      <c r="H42" s="61" t="s">
        <v>444</v>
      </c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</row>
    <row r="43" spans="1:20" x14ac:dyDescent="0.25">
      <c r="A43" s="61"/>
      <c r="B43" s="61"/>
      <c r="C43" s="61"/>
      <c r="D43" s="61"/>
      <c r="E43" s="61"/>
      <c r="F43" s="61" t="s">
        <v>546</v>
      </c>
      <c r="G43" s="61">
        <v>0</v>
      </c>
      <c r="H43" s="61" t="s">
        <v>268</v>
      </c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</row>
    <row r="44" spans="1:20" x14ac:dyDescent="0.25">
      <c r="A44" s="61"/>
      <c r="B44" s="61"/>
      <c r="C44" s="61"/>
      <c r="D44" s="61"/>
      <c r="E44" s="61"/>
      <c r="F44" s="61" t="s">
        <v>547</v>
      </c>
      <c r="G44" s="61">
        <v>0</v>
      </c>
      <c r="H44" s="61" t="s">
        <v>253</v>
      </c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</row>
    <row r="45" spans="1:20" x14ac:dyDescent="0.25">
      <c r="A45" s="61"/>
      <c r="B45" s="61"/>
      <c r="C45" s="61"/>
      <c r="D45" s="61"/>
      <c r="E45" s="61"/>
      <c r="F45" s="61" t="s">
        <v>548</v>
      </c>
      <c r="G45" s="61">
        <v>0</v>
      </c>
      <c r="H45" s="61" t="s">
        <v>459</v>
      </c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</row>
    <row r="46" spans="1:20" x14ac:dyDescent="0.25">
      <c r="A46" s="61"/>
      <c r="B46" s="61"/>
      <c r="C46" s="61"/>
      <c r="D46" s="61"/>
      <c r="E46" s="61"/>
      <c r="F46" s="61" t="s">
        <v>549</v>
      </c>
      <c r="G46" s="61">
        <v>0</v>
      </c>
      <c r="H46" s="61" t="s">
        <v>450</v>
      </c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</row>
    <row r="47" spans="1:20" x14ac:dyDescent="0.25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</row>
    <row r="48" spans="1:20" x14ac:dyDescent="0.25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</row>
    <row r="49" spans="1:20" x14ac:dyDescent="0.25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</row>
  </sheetData>
  <autoFilter ref="F2:H46" xr:uid="{95537380-849D-4AF1-ABDA-646485D3FB19}">
    <filterColumn colId="1">
      <filters>
        <filter val="0"/>
      </filters>
    </filterColumn>
  </autoFilter>
  <mergeCells count="3">
    <mergeCell ref="A1:C1"/>
    <mergeCell ref="F1:H1"/>
    <mergeCell ref="K1:M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200B1-6358-457C-9202-56127D3DEDA0}">
  <sheetPr codeName="Sheet10"/>
  <dimension ref="A1:M46"/>
  <sheetViews>
    <sheetView workbookViewId="0">
      <selection activeCell="H45" sqref="H45"/>
    </sheetView>
  </sheetViews>
  <sheetFormatPr defaultRowHeight="15" x14ac:dyDescent="0.25"/>
  <cols>
    <col min="3" max="3" width="29" customWidth="1"/>
  </cols>
  <sheetData>
    <row r="1" spans="1:13" x14ac:dyDescent="0.25">
      <c r="A1" s="177" t="s">
        <v>162</v>
      </c>
      <c r="B1" s="177"/>
      <c r="C1" s="177"/>
      <c r="F1" s="163" t="s">
        <v>354</v>
      </c>
      <c r="G1" s="163"/>
      <c r="H1" s="163"/>
      <c r="K1" s="177" t="s">
        <v>163</v>
      </c>
      <c r="L1" s="177"/>
      <c r="M1" s="177"/>
    </row>
    <row r="2" spans="1:13" x14ac:dyDescent="0.25">
      <c r="A2" t="s">
        <v>466</v>
      </c>
      <c r="B2" t="s">
        <v>203</v>
      </c>
      <c r="C2" t="s">
        <v>550</v>
      </c>
      <c r="F2" t="s">
        <v>466</v>
      </c>
      <c r="G2" t="s">
        <v>467</v>
      </c>
      <c r="H2" t="s">
        <v>550</v>
      </c>
      <c r="K2" t="s">
        <v>466</v>
      </c>
      <c r="L2" t="s">
        <v>467</v>
      </c>
      <c r="M2" t="s">
        <v>550</v>
      </c>
    </row>
    <row r="3" spans="1:13" x14ac:dyDescent="0.25">
      <c r="A3" t="s">
        <v>513</v>
      </c>
      <c r="B3">
        <v>0</v>
      </c>
      <c r="C3" t="s">
        <v>288</v>
      </c>
      <c r="F3" t="s">
        <v>469</v>
      </c>
      <c r="G3">
        <v>0</v>
      </c>
      <c r="H3" t="s">
        <v>423</v>
      </c>
      <c r="K3" t="s">
        <v>470</v>
      </c>
      <c r="L3">
        <v>0</v>
      </c>
      <c r="M3" t="s">
        <v>683</v>
      </c>
    </row>
    <row r="4" spans="1:13" x14ac:dyDescent="0.25">
      <c r="A4" t="s">
        <v>510</v>
      </c>
      <c r="B4">
        <v>0</v>
      </c>
      <c r="C4" t="s">
        <v>300</v>
      </c>
      <c r="F4" t="s">
        <v>472</v>
      </c>
      <c r="G4">
        <v>0</v>
      </c>
      <c r="H4" t="s">
        <v>625</v>
      </c>
      <c r="K4" t="s">
        <v>473</v>
      </c>
      <c r="L4">
        <v>0</v>
      </c>
      <c r="M4" t="s">
        <v>426</v>
      </c>
    </row>
    <row r="5" spans="1:13" x14ac:dyDescent="0.25">
      <c r="A5" t="s">
        <v>507</v>
      </c>
      <c r="B5">
        <v>0</v>
      </c>
      <c r="C5" t="s">
        <v>325</v>
      </c>
      <c r="F5" t="s">
        <v>475</v>
      </c>
      <c r="G5">
        <v>0</v>
      </c>
      <c r="H5" t="s">
        <v>274</v>
      </c>
      <c r="K5" t="s">
        <v>476</v>
      </c>
      <c r="L5">
        <v>0</v>
      </c>
      <c r="M5" t="s">
        <v>322</v>
      </c>
    </row>
    <row r="6" spans="1:13" x14ac:dyDescent="0.25">
      <c r="A6" t="s">
        <v>504</v>
      </c>
      <c r="B6">
        <v>0</v>
      </c>
      <c r="C6" t="s">
        <v>410</v>
      </c>
      <c r="F6" t="s">
        <v>478</v>
      </c>
      <c r="G6">
        <v>0</v>
      </c>
      <c r="H6" t="s">
        <v>457</v>
      </c>
      <c r="K6" t="s">
        <v>479</v>
      </c>
      <c r="L6" t="s">
        <v>467</v>
      </c>
      <c r="M6" t="s">
        <v>467</v>
      </c>
    </row>
    <row r="7" spans="1:13" x14ac:dyDescent="0.25">
      <c r="A7" t="s">
        <v>501</v>
      </c>
      <c r="B7">
        <v>0</v>
      </c>
      <c r="C7" t="s">
        <v>249</v>
      </c>
      <c r="F7" t="s">
        <v>481</v>
      </c>
      <c r="G7">
        <v>0</v>
      </c>
      <c r="H7" t="s">
        <v>431</v>
      </c>
      <c r="K7" t="s">
        <v>482</v>
      </c>
      <c r="L7">
        <v>0</v>
      </c>
      <c r="M7" t="s">
        <v>263</v>
      </c>
    </row>
    <row r="8" spans="1:13" x14ac:dyDescent="0.25">
      <c r="A8" t="s">
        <v>498</v>
      </c>
      <c r="B8">
        <v>0</v>
      </c>
      <c r="C8" t="s">
        <v>448</v>
      </c>
      <c r="F8" t="s">
        <v>484</v>
      </c>
      <c r="G8">
        <v>0</v>
      </c>
      <c r="H8" t="s">
        <v>424</v>
      </c>
      <c r="K8" t="s">
        <v>485</v>
      </c>
      <c r="L8">
        <v>0</v>
      </c>
      <c r="M8" t="s">
        <v>458</v>
      </c>
    </row>
    <row r="9" spans="1:13" x14ac:dyDescent="0.25">
      <c r="A9" t="s">
        <v>495</v>
      </c>
      <c r="B9">
        <v>0</v>
      </c>
      <c r="C9" t="s">
        <v>552</v>
      </c>
      <c r="F9" t="s">
        <v>487</v>
      </c>
      <c r="G9">
        <v>0</v>
      </c>
      <c r="H9" t="s">
        <v>344</v>
      </c>
      <c r="K9" t="s">
        <v>488</v>
      </c>
      <c r="L9">
        <v>0</v>
      </c>
      <c r="M9" t="s">
        <v>552</v>
      </c>
    </row>
    <row r="10" spans="1:13" x14ac:dyDescent="0.25">
      <c r="A10" t="s">
        <v>492</v>
      </c>
      <c r="B10">
        <v>0</v>
      </c>
      <c r="C10" t="s">
        <v>552</v>
      </c>
      <c r="F10" t="s">
        <v>490</v>
      </c>
      <c r="G10">
        <v>0</v>
      </c>
      <c r="H10" t="s">
        <v>415</v>
      </c>
      <c r="K10" t="s">
        <v>491</v>
      </c>
      <c r="L10">
        <v>0</v>
      </c>
      <c r="M10" t="s">
        <v>552</v>
      </c>
    </row>
    <row r="11" spans="1:13" x14ac:dyDescent="0.25">
      <c r="A11" t="s">
        <v>489</v>
      </c>
      <c r="B11" t="s">
        <v>467</v>
      </c>
      <c r="C11" t="s">
        <v>467</v>
      </c>
      <c r="F11" t="s">
        <v>493</v>
      </c>
      <c r="G11">
        <v>0</v>
      </c>
      <c r="H11" t="s">
        <v>634</v>
      </c>
      <c r="K11" t="s">
        <v>494</v>
      </c>
      <c r="L11">
        <v>0</v>
      </c>
      <c r="M11" t="s">
        <v>552</v>
      </c>
    </row>
    <row r="12" spans="1:13" x14ac:dyDescent="0.25">
      <c r="A12" t="s">
        <v>486</v>
      </c>
      <c r="B12">
        <v>0</v>
      </c>
      <c r="C12" t="s">
        <v>552</v>
      </c>
      <c r="F12" t="s">
        <v>496</v>
      </c>
      <c r="G12">
        <v>0</v>
      </c>
      <c r="H12" t="s">
        <v>438</v>
      </c>
      <c r="K12" t="s">
        <v>497</v>
      </c>
      <c r="L12">
        <v>0</v>
      </c>
      <c r="M12" t="s">
        <v>552</v>
      </c>
    </row>
    <row r="13" spans="1:13" x14ac:dyDescent="0.25">
      <c r="A13" t="s">
        <v>483</v>
      </c>
      <c r="B13">
        <v>0</v>
      </c>
      <c r="C13" t="s">
        <v>552</v>
      </c>
      <c r="F13" t="s">
        <v>499</v>
      </c>
      <c r="G13" t="s">
        <v>467</v>
      </c>
      <c r="H13" t="s">
        <v>467</v>
      </c>
      <c r="K13" t="s">
        <v>500</v>
      </c>
      <c r="L13">
        <v>0</v>
      </c>
      <c r="M13" t="s">
        <v>552</v>
      </c>
    </row>
    <row r="14" spans="1:13" x14ac:dyDescent="0.25">
      <c r="A14" t="s">
        <v>480</v>
      </c>
      <c r="B14">
        <v>0</v>
      </c>
      <c r="C14" t="s">
        <v>552</v>
      </c>
      <c r="F14" t="s">
        <v>502</v>
      </c>
      <c r="G14">
        <v>0</v>
      </c>
      <c r="H14" t="s">
        <v>421</v>
      </c>
      <c r="K14" t="s">
        <v>503</v>
      </c>
      <c r="L14">
        <v>0</v>
      </c>
      <c r="M14" t="s">
        <v>552</v>
      </c>
    </row>
    <row r="15" spans="1:13" x14ac:dyDescent="0.25">
      <c r="A15" t="s">
        <v>477</v>
      </c>
      <c r="B15">
        <v>0</v>
      </c>
      <c r="C15" t="s">
        <v>552</v>
      </c>
      <c r="F15" t="s">
        <v>505</v>
      </c>
      <c r="G15">
        <v>0</v>
      </c>
      <c r="H15" t="s">
        <v>630</v>
      </c>
      <c r="K15" t="s">
        <v>506</v>
      </c>
      <c r="L15">
        <v>0</v>
      </c>
      <c r="M15" t="s">
        <v>552</v>
      </c>
    </row>
    <row r="16" spans="1:13" x14ac:dyDescent="0.25">
      <c r="A16" t="s">
        <v>474</v>
      </c>
      <c r="B16">
        <v>0</v>
      </c>
      <c r="C16" t="s">
        <v>552</v>
      </c>
      <c r="F16" t="s">
        <v>508</v>
      </c>
      <c r="G16">
        <v>0</v>
      </c>
      <c r="H16" t="s">
        <v>419</v>
      </c>
      <c r="K16" t="s">
        <v>509</v>
      </c>
      <c r="L16" t="s">
        <v>467</v>
      </c>
      <c r="M16" t="s">
        <v>467</v>
      </c>
    </row>
    <row r="17" spans="1:13" x14ac:dyDescent="0.25">
      <c r="A17" t="s">
        <v>471</v>
      </c>
      <c r="B17">
        <v>0</v>
      </c>
      <c r="C17" t="s">
        <v>552</v>
      </c>
      <c r="F17" t="s">
        <v>511</v>
      </c>
      <c r="G17">
        <v>0</v>
      </c>
      <c r="H17" t="s">
        <v>290</v>
      </c>
      <c r="K17" t="s">
        <v>512</v>
      </c>
      <c r="L17">
        <v>0</v>
      </c>
      <c r="M17" t="s">
        <v>552</v>
      </c>
    </row>
    <row r="18" spans="1:13" x14ac:dyDescent="0.25">
      <c r="A18" t="s">
        <v>468</v>
      </c>
      <c r="B18">
        <v>0</v>
      </c>
      <c r="C18" t="s">
        <v>552</v>
      </c>
      <c r="F18" t="s">
        <v>514</v>
      </c>
      <c r="G18">
        <v>0</v>
      </c>
      <c r="H18" t="s">
        <v>261</v>
      </c>
      <c r="K18" t="s">
        <v>515</v>
      </c>
      <c r="L18">
        <v>0</v>
      </c>
      <c r="M18" t="s">
        <v>552</v>
      </c>
    </row>
    <row r="19" spans="1:13" x14ac:dyDescent="0.25">
      <c r="F19" t="s">
        <v>516</v>
      </c>
      <c r="G19">
        <v>0</v>
      </c>
      <c r="H19" t="s">
        <v>454</v>
      </c>
      <c r="K19" t="s">
        <v>517</v>
      </c>
      <c r="L19" t="s">
        <v>467</v>
      </c>
      <c r="M19" t="s">
        <v>467</v>
      </c>
    </row>
    <row r="20" spans="1:13" x14ac:dyDescent="0.25">
      <c r="F20" t="s">
        <v>518</v>
      </c>
      <c r="G20">
        <v>0</v>
      </c>
      <c r="H20" t="s">
        <v>452</v>
      </c>
      <c r="K20" t="s">
        <v>519</v>
      </c>
      <c r="L20" t="s">
        <v>467</v>
      </c>
      <c r="M20" t="s">
        <v>467</v>
      </c>
    </row>
    <row r="21" spans="1:13" x14ac:dyDescent="0.25">
      <c r="F21" t="s">
        <v>520</v>
      </c>
      <c r="G21">
        <v>0</v>
      </c>
      <c r="H21" t="s">
        <v>235</v>
      </c>
      <c r="K21" t="s">
        <v>521</v>
      </c>
      <c r="L21">
        <v>0</v>
      </c>
      <c r="M21" t="s">
        <v>552</v>
      </c>
    </row>
    <row r="22" spans="1:13" x14ac:dyDescent="0.25">
      <c r="F22" t="s">
        <v>522</v>
      </c>
      <c r="G22" t="s">
        <v>467</v>
      </c>
      <c r="H22" t="s">
        <v>467</v>
      </c>
      <c r="K22" t="s">
        <v>523</v>
      </c>
      <c r="L22">
        <v>0</v>
      </c>
      <c r="M22" t="s">
        <v>552</v>
      </c>
    </row>
    <row r="23" spans="1:13" x14ac:dyDescent="0.25">
      <c r="F23" t="s">
        <v>524</v>
      </c>
      <c r="G23">
        <v>0</v>
      </c>
      <c r="H23" t="s">
        <v>236</v>
      </c>
      <c r="K23" t="s">
        <v>525</v>
      </c>
      <c r="L23">
        <v>0</v>
      </c>
      <c r="M23" t="s">
        <v>552</v>
      </c>
    </row>
    <row r="24" spans="1:13" x14ac:dyDescent="0.25">
      <c r="F24" t="s">
        <v>526</v>
      </c>
      <c r="G24">
        <v>0</v>
      </c>
      <c r="H24" t="s">
        <v>350</v>
      </c>
      <c r="K24" t="s">
        <v>527</v>
      </c>
      <c r="L24">
        <v>0</v>
      </c>
      <c r="M24" t="s">
        <v>552</v>
      </c>
    </row>
    <row r="25" spans="1:13" x14ac:dyDescent="0.25">
      <c r="F25" t="s">
        <v>528</v>
      </c>
      <c r="G25">
        <v>0</v>
      </c>
      <c r="H25" t="s">
        <v>723</v>
      </c>
    </row>
    <row r="26" spans="1:13" x14ac:dyDescent="0.25">
      <c r="F26" t="s">
        <v>529</v>
      </c>
      <c r="G26">
        <v>0</v>
      </c>
      <c r="H26" t="s">
        <v>271</v>
      </c>
    </row>
    <row r="27" spans="1:13" x14ac:dyDescent="0.25">
      <c r="F27" t="s">
        <v>530</v>
      </c>
      <c r="G27">
        <v>0</v>
      </c>
      <c r="H27" t="s">
        <v>323</v>
      </c>
    </row>
    <row r="28" spans="1:13" x14ac:dyDescent="0.25">
      <c r="F28" t="s">
        <v>531</v>
      </c>
      <c r="G28">
        <v>0</v>
      </c>
      <c r="H28" t="s">
        <v>250</v>
      </c>
    </row>
    <row r="29" spans="1:13" x14ac:dyDescent="0.25">
      <c r="F29" t="s">
        <v>532</v>
      </c>
      <c r="G29">
        <v>0</v>
      </c>
      <c r="H29" t="s">
        <v>565</v>
      </c>
    </row>
    <row r="30" spans="1:13" x14ac:dyDescent="0.25">
      <c r="F30" t="s">
        <v>533</v>
      </c>
      <c r="G30" t="s">
        <v>467</v>
      </c>
      <c r="H30" t="s">
        <v>467</v>
      </c>
    </row>
    <row r="31" spans="1:13" x14ac:dyDescent="0.25">
      <c r="F31" t="s">
        <v>534</v>
      </c>
      <c r="G31">
        <v>0</v>
      </c>
      <c r="H31" t="s">
        <v>552</v>
      </c>
    </row>
    <row r="32" spans="1:13" x14ac:dyDescent="0.25">
      <c r="F32" t="s">
        <v>535</v>
      </c>
      <c r="G32">
        <v>0</v>
      </c>
      <c r="H32" t="s">
        <v>552</v>
      </c>
    </row>
    <row r="33" spans="6:8" x14ac:dyDescent="0.25">
      <c r="F33" t="s">
        <v>536</v>
      </c>
      <c r="G33">
        <v>0</v>
      </c>
      <c r="H33" t="s">
        <v>304</v>
      </c>
    </row>
    <row r="34" spans="6:8" x14ac:dyDescent="0.25">
      <c r="F34" t="s">
        <v>537</v>
      </c>
      <c r="G34">
        <v>0</v>
      </c>
      <c r="H34" t="s">
        <v>552</v>
      </c>
    </row>
    <row r="35" spans="6:8" x14ac:dyDescent="0.25">
      <c r="F35" t="s">
        <v>538</v>
      </c>
      <c r="G35">
        <v>0</v>
      </c>
      <c r="H35" t="s">
        <v>552</v>
      </c>
    </row>
    <row r="36" spans="6:8" x14ac:dyDescent="0.25">
      <c r="F36" t="s">
        <v>539</v>
      </c>
      <c r="G36">
        <v>0</v>
      </c>
      <c r="H36" t="s">
        <v>552</v>
      </c>
    </row>
    <row r="37" spans="6:8" x14ac:dyDescent="0.25">
      <c r="F37" t="s">
        <v>540</v>
      </c>
      <c r="G37">
        <v>0</v>
      </c>
      <c r="H37" t="s">
        <v>552</v>
      </c>
    </row>
    <row r="38" spans="6:8" x14ac:dyDescent="0.25">
      <c r="F38" t="s">
        <v>541</v>
      </c>
      <c r="G38">
        <v>0</v>
      </c>
      <c r="H38" t="s">
        <v>552</v>
      </c>
    </row>
    <row r="39" spans="6:8" x14ac:dyDescent="0.25">
      <c r="F39" t="s">
        <v>542</v>
      </c>
      <c r="G39">
        <v>0</v>
      </c>
      <c r="H39" t="s">
        <v>321</v>
      </c>
    </row>
    <row r="40" spans="6:8" x14ac:dyDescent="0.25">
      <c r="F40" t="s">
        <v>543</v>
      </c>
      <c r="G40">
        <v>0</v>
      </c>
      <c r="H40" t="s">
        <v>552</v>
      </c>
    </row>
    <row r="41" spans="6:8" x14ac:dyDescent="0.25">
      <c r="F41" t="s">
        <v>544</v>
      </c>
      <c r="G41">
        <v>0</v>
      </c>
      <c r="H41" t="s">
        <v>552</v>
      </c>
    </row>
    <row r="42" spans="6:8" x14ac:dyDescent="0.25">
      <c r="F42" t="s">
        <v>545</v>
      </c>
      <c r="G42">
        <v>0</v>
      </c>
      <c r="H42" t="s">
        <v>552</v>
      </c>
    </row>
    <row r="43" spans="6:8" x14ac:dyDescent="0.25">
      <c r="F43" t="s">
        <v>546</v>
      </c>
      <c r="G43">
        <v>0</v>
      </c>
      <c r="H43" t="s">
        <v>552</v>
      </c>
    </row>
    <row r="44" spans="6:8" x14ac:dyDescent="0.25">
      <c r="F44" t="s">
        <v>547</v>
      </c>
      <c r="G44">
        <v>0</v>
      </c>
      <c r="H44" t="s">
        <v>253</v>
      </c>
    </row>
    <row r="45" spans="6:8" x14ac:dyDescent="0.25">
      <c r="F45" t="s">
        <v>548</v>
      </c>
      <c r="G45">
        <v>0</v>
      </c>
      <c r="H45" t="s">
        <v>552</v>
      </c>
    </row>
    <row r="46" spans="6:8" x14ac:dyDescent="0.25">
      <c r="F46" t="s">
        <v>549</v>
      </c>
      <c r="G46">
        <v>0</v>
      </c>
      <c r="H46" t="s">
        <v>552</v>
      </c>
    </row>
  </sheetData>
  <mergeCells count="3">
    <mergeCell ref="A1:C1"/>
    <mergeCell ref="F1:H1"/>
    <mergeCell ref="K1:M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0D7D9-17C7-4C82-8FF4-6BD868A181F2}">
  <sheetPr codeName="Sheet11"/>
  <dimension ref="A3:L178"/>
  <sheetViews>
    <sheetView workbookViewId="0">
      <selection activeCell="A152" sqref="A152:XFD152"/>
    </sheetView>
  </sheetViews>
  <sheetFormatPr defaultRowHeight="15" x14ac:dyDescent="0.25"/>
  <cols>
    <col min="1" max="1" width="27.28515625" bestFit="1" customWidth="1"/>
    <col min="2" max="2" width="16.85546875" bestFit="1" customWidth="1"/>
    <col min="3" max="3" width="8.140625" bestFit="1" customWidth="1"/>
    <col min="4" max="4" width="5" bestFit="1" customWidth="1"/>
    <col min="5" max="5" width="17.85546875" bestFit="1" customWidth="1"/>
    <col min="6" max="6" width="10.5703125" bestFit="1" customWidth="1"/>
    <col min="7" max="7" width="8.85546875" bestFit="1" customWidth="1"/>
    <col min="8" max="8" width="5" bestFit="1" customWidth="1"/>
    <col min="9" max="9" width="6.140625" bestFit="1" customWidth="1"/>
    <col min="10" max="10" width="7.28515625" bestFit="1" customWidth="1"/>
    <col min="11" max="11" width="6.140625" bestFit="1" customWidth="1"/>
    <col min="12" max="12" width="11.28515625" bestFit="1" customWidth="1"/>
  </cols>
  <sheetData>
    <row r="3" spans="1:12" x14ac:dyDescent="0.25">
      <c r="A3" s="72" t="s">
        <v>557</v>
      </c>
      <c r="B3" s="72" t="s">
        <v>556</v>
      </c>
    </row>
    <row r="4" spans="1:12" x14ac:dyDescent="0.25">
      <c r="A4" s="72" t="s">
        <v>553</v>
      </c>
      <c r="B4" t="s">
        <v>358</v>
      </c>
      <c r="C4" t="s">
        <v>357</v>
      </c>
      <c r="D4" t="s">
        <v>162</v>
      </c>
      <c r="E4" t="s">
        <v>359</v>
      </c>
      <c r="F4" t="s">
        <v>356</v>
      </c>
      <c r="G4" t="s">
        <v>222</v>
      </c>
      <c r="H4" t="s">
        <v>354</v>
      </c>
      <c r="I4" t="s">
        <v>163</v>
      </c>
      <c r="J4" t="s">
        <v>554</v>
      </c>
      <c r="K4" t="s">
        <v>560</v>
      </c>
      <c r="L4" t="s">
        <v>555</v>
      </c>
    </row>
    <row r="5" spans="1:12" x14ac:dyDescent="0.25">
      <c r="A5" s="73" t="s">
        <v>423</v>
      </c>
      <c r="B5" s="74">
        <v>1</v>
      </c>
      <c r="C5" s="74">
        <v>2</v>
      </c>
      <c r="D5" s="74">
        <v>6</v>
      </c>
      <c r="E5" s="74">
        <v>1</v>
      </c>
      <c r="F5" s="74"/>
      <c r="G5" s="74"/>
      <c r="H5" s="74">
        <v>35</v>
      </c>
      <c r="I5" s="74">
        <v>3</v>
      </c>
      <c r="J5" s="74"/>
      <c r="K5" s="74"/>
      <c r="L5" s="74">
        <v>48</v>
      </c>
    </row>
    <row r="6" spans="1:12" x14ac:dyDescent="0.25">
      <c r="A6" s="73" t="s">
        <v>352</v>
      </c>
      <c r="B6" s="74">
        <v>2</v>
      </c>
      <c r="C6" s="74">
        <v>2</v>
      </c>
      <c r="D6" s="74">
        <v>6</v>
      </c>
      <c r="E6" s="74">
        <v>6</v>
      </c>
      <c r="F6" s="74"/>
      <c r="G6" s="74"/>
      <c r="H6" s="74">
        <v>25</v>
      </c>
      <c r="I6" s="74">
        <v>3</v>
      </c>
      <c r="J6" s="74"/>
      <c r="K6" s="74"/>
      <c r="L6" s="74">
        <v>44</v>
      </c>
    </row>
    <row r="7" spans="1:12" x14ac:dyDescent="0.25">
      <c r="A7" s="73" t="s">
        <v>417</v>
      </c>
      <c r="B7" s="74"/>
      <c r="C7" s="74"/>
      <c r="D7" s="74"/>
      <c r="E7" s="74"/>
      <c r="F7" s="74"/>
      <c r="G7" s="74">
        <v>40</v>
      </c>
      <c r="H7" s="74"/>
      <c r="I7" s="74"/>
      <c r="J7" s="74"/>
      <c r="K7" s="74"/>
      <c r="L7" s="74">
        <v>40</v>
      </c>
    </row>
    <row r="8" spans="1:12" x14ac:dyDescent="0.25">
      <c r="A8" s="73" t="s">
        <v>404</v>
      </c>
      <c r="B8" s="74">
        <v>1</v>
      </c>
      <c r="C8" s="74">
        <v>5</v>
      </c>
      <c r="D8" s="74">
        <v>6</v>
      </c>
      <c r="E8" s="74">
        <v>1</v>
      </c>
      <c r="F8" s="74"/>
      <c r="G8" s="74"/>
      <c r="H8" s="74">
        <v>32</v>
      </c>
      <c r="I8" s="74">
        <v>3</v>
      </c>
      <c r="J8" s="74"/>
      <c r="K8" s="74"/>
      <c r="L8" s="74">
        <v>48</v>
      </c>
    </row>
    <row r="9" spans="1:12" x14ac:dyDescent="0.25">
      <c r="A9" s="73" t="s">
        <v>407</v>
      </c>
      <c r="B9" s="74">
        <v>4</v>
      </c>
      <c r="C9" s="74">
        <v>1</v>
      </c>
      <c r="D9" s="74">
        <v>7</v>
      </c>
      <c r="E9" s="74">
        <v>5</v>
      </c>
      <c r="F9" s="74"/>
      <c r="G9" s="74"/>
      <c r="H9" s="74">
        <v>27</v>
      </c>
      <c r="I9" s="74">
        <v>4</v>
      </c>
      <c r="J9" s="74"/>
      <c r="K9" s="74"/>
      <c r="L9" s="74">
        <v>48</v>
      </c>
    </row>
    <row r="10" spans="1:12" x14ac:dyDescent="0.25">
      <c r="A10" s="73" t="s">
        <v>430</v>
      </c>
      <c r="B10" s="74">
        <v>10</v>
      </c>
      <c r="C10" s="74">
        <v>1</v>
      </c>
      <c r="D10" s="74">
        <v>7</v>
      </c>
      <c r="E10" s="74">
        <v>4</v>
      </c>
      <c r="F10" s="74">
        <v>1</v>
      </c>
      <c r="G10" s="74"/>
      <c r="H10" s="74">
        <v>22</v>
      </c>
      <c r="I10" s="74">
        <v>2</v>
      </c>
      <c r="J10" s="74"/>
      <c r="K10" s="74">
        <v>1</v>
      </c>
      <c r="L10" s="74">
        <v>48</v>
      </c>
    </row>
    <row r="11" spans="1:12" x14ac:dyDescent="0.25">
      <c r="A11" s="73" t="s">
        <v>429</v>
      </c>
      <c r="B11" s="74">
        <v>2</v>
      </c>
      <c r="C11" s="74">
        <v>2</v>
      </c>
      <c r="D11" s="74">
        <v>5</v>
      </c>
      <c r="E11" s="74">
        <v>3</v>
      </c>
      <c r="F11" s="74">
        <v>1</v>
      </c>
      <c r="G11" s="74"/>
      <c r="H11" s="74">
        <v>26</v>
      </c>
      <c r="I11" s="74">
        <v>2</v>
      </c>
      <c r="J11" s="74"/>
      <c r="K11" s="74"/>
      <c r="L11" s="74">
        <v>41</v>
      </c>
    </row>
    <row r="12" spans="1:12" x14ac:dyDescent="0.25">
      <c r="A12" s="73" t="s">
        <v>431</v>
      </c>
      <c r="B12" s="74">
        <v>1</v>
      </c>
      <c r="C12" s="74"/>
      <c r="D12" s="74">
        <v>5</v>
      </c>
      <c r="E12" s="74"/>
      <c r="F12" s="74"/>
      <c r="G12" s="74"/>
      <c r="H12" s="74">
        <v>40</v>
      </c>
      <c r="I12" s="74">
        <v>2</v>
      </c>
      <c r="J12" s="74"/>
      <c r="K12" s="74"/>
      <c r="L12" s="74">
        <v>48</v>
      </c>
    </row>
    <row r="13" spans="1:12" x14ac:dyDescent="0.25">
      <c r="A13" s="73" t="s">
        <v>276</v>
      </c>
      <c r="B13" s="74">
        <v>9</v>
      </c>
      <c r="C13" s="74">
        <v>1</v>
      </c>
      <c r="D13" s="74">
        <v>6</v>
      </c>
      <c r="E13" s="74">
        <v>21</v>
      </c>
      <c r="F13" s="74">
        <v>1</v>
      </c>
      <c r="G13" s="74"/>
      <c r="H13" s="74">
        <v>1</v>
      </c>
      <c r="I13" s="74">
        <v>2</v>
      </c>
      <c r="J13" s="74"/>
      <c r="K13" s="74"/>
      <c r="L13" s="74">
        <v>41</v>
      </c>
    </row>
    <row r="14" spans="1:12" x14ac:dyDescent="0.25">
      <c r="A14" s="73" t="s">
        <v>457</v>
      </c>
      <c r="B14" s="74">
        <v>4</v>
      </c>
      <c r="C14" s="74">
        <v>1</v>
      </c>
      <c r="D14" s="74">
        <v>8</v>
      </c>
      <c r="E14" s="74">
        <v>3</v>
      </c>
      <c r="F14" s="74">
        <v>1</v>
      </c>
      <c r="G14" s="74"/>
      <c r="H14" s="74">
        <v>25</v>
      </c>
      <c r="I14" s="74">
        <v>3</v>
      </c>
      <c r="J14" s="74"/>
      <c r="K14" s="74"/>
      <c r="L14" s="74">
        <v>45</v>
      </c>
    </row>
    <row r="15" spans="1:12" x14ac:dyDescent="0.25">
      <c r="A15" s="73" t="s">
        <v>169</v>
      </c>
      <c r="B15" s="74">
        <v>11</v>
      </c>
      <c r="C15" s="74">
        <v>1</v>
      </c>
      <c r="D15" s="74">
        <v>5</v>
      </c>
      <c r="E15" s="74">
        <v>27</v>
      </c>
      <c r="F15" s="74">
        <v>1</v>
      </c>
      <c r="G15" s="74"/>
      <c r="H15" s="74">
        <v>1</v>
      </c>
      <c r="I15" s="74">
        <v>2</v>
      </c>
      <c r="J15" s="74"/>
      <c r="K15" s="74"/>
      <c r="L15" s="74">
        <v>48</v>
      </c>
    </row>
    <row r="16" spans="1:12" x14ac:dyDescent="0.25">
      <c r="A16" s="73" t="s">
        <v>277</v>
      </c>
      <c r="B16" s="74">
        <v>12</v>
      </c>
      <c r="C16" s="74">
        <v>1</v>
      </c>
      <c r="D16" s="74">
        <v>5</v>
      </c>
      <c r="E16" s="74">
        <v>23</v>
      </c>
      <c r="F16" s="74">
        <v>1</v>
      </c>
      <c r="G16" s="74"/>
      <c r="H16" s="74">
        <v>3</v>
      </c>
      <c r="I16" s="74">
        <v>3</v>
      </c>
      <c r="J16" s="74"/>
      <c r="K16" s="74"/>
      <c r="L16" s="74">
        <v>48</v>
      </c>
    </row>
    <row r="17" spans="1:12" x14ac:dyDescent="0.25">
      <c r="A17" s="73" t="s">
        <v>196</v>
      </c>
      <c r="B17" s="74">
        <v>1</v>
      </c>
      <c r="C17" s="74">
        <v>3</v>
      </c>
      <c r="D17" s="74">
        <v>6</v>
      </c>
      <c r="E17" s="74">
        <v>2</v>
      </c>
      <c r="F17" s="74"/>
      <c r="G17" s="74"/>
      <c r="H17" s="74">
        <v>34</v>
      </c>
      <c r="I17" s="74">
        <v>2</v>
      </c>
      <c r="J17" s="74"/>
      <c r="K17" s="74"/>
      <c r="L17" s="74">
        <v>48</v>
      </c>
    </row>
    <row r="18" spans="1:12" x14ac:dyDescent="0.25">
      <c r="A18" s="73" t="s">
        <v>279</v>
      </c>
      <c r="B18" s="74">
        <v>8</v>
      </c>
      <c r="C18" s="74">
        <v>3</v>
      </c>
      <c r="D18" s="74">
        <v>5</v>
      </c>
      <c r="E18" s="74">
        <v>25</v>
      </c>
      <c r="F18" s="74">
        <v>1</v>
      </c>
      <c r="G18" s="74"/>
      <c r="H18" s="74">
        <v>4</v>
      </c>
      <c r="I18" s="74">
        <v>2</v>
      </c>
      <c r="J18" s="74"/>
      <c r="K18" s="74"/>
      <c r="L18" s="74">
        <v>48</v>
      </c>
    </row>
    <row r="19" spans="1:12" x14ac:dyDescent="0.25">
      <c r="A19" s="73" t="s">
        <v>200</v>
      </c>
      <c r="B19" s="74">
        <v>8</v>
      </c>
      <c r="C19" s="74">
        <v>3</v>
      </c>
      <c r="D19" s="74">
        <v>4</v>
      </c>
      <c r="E19" s="74">
        <v>25</v>
      </c>
      <c r="F19" s="74">
        <v>1</v>
      </c>
      <c r="G19" s="74"/>
      <c r="H19" s="74">
        <v>6</v>
      </c>
      <c r="I19" s="74">
        <v>1</v>
      </c>
      <c r="J19" s="74"/>
      <c r="K19" s="74"/>
      <c r="L19" s="74">
        <v>48</v>
      </c>
    </row>
    <row r="20" spans="1:12" x14ac:dyDescent="0.25">
      <c r="A20" s="73" t="s">
        <v>432</v>
      </c>
      <c r="B20" s="74">
        <v>11</v>
      </c>
      <c r="C20" s="74">
        <v>1</v>
      </c>
      <c r="D20" s="74">
        <v>6</v>
      </c>
      <c r="E20" s="74">
        <v>24</v>
      </c>
      <c r="F20" s="74">
        <v>1</v>
      </c>
      <c r="G20" s="74"/>
      <c r="H20" s="74">
        <v>3</v>
      </c>
      <c r="I20" s="74">
        <v>2</v>
      </c>
      <c r="J20" s="74"/>
      <c r="K20" s="74"/>
      <c r="L20" s="74">
        <v>48</v>
      </c>
    </row>
    <row r="21" spans="1:12" x14ac:dyDescent="0.25">
      <c r="A21" s="73" t="s">
        <v>266</v>
      </c>
      <c r="B21" s="74">
        <v>1</v>
      </c>
      <c r="C21" s="74">
        <v>2</v>
      </c>
      <c r="D21" s="74">
        <v>6</v>
      </c>
      <c r="E21" s="74">
        <v>5</v>
      </c>
      <c r="F21" s="74"/>
      <c r="G21" s="74"/>
      <c r="H21" s="74">
        <v>31</v>
      </c>
      <c r="I21" s="74">
        <v>3</v>
      </c>
      <c r="J21" s="74"/>
      <c r="K21" s="74"/>
      <c r="L21" s="74">
        <v>48</v>
      </c>
    </row>
    <row r="22" spans="1:12" x14ac:dyDescent="0.25">
      <c r="A22" s="73" t="s">
        <v>412</v>
      </c>
      <c r="B22" s="74">
        <v>8</v>
      </c>
      <c r="C22" s="74">
        <v>4</v>
      </c>
      <c r="D22" s="74">
        <v>5</v>
      </c>
      <c r="E22" s="74">
        <v>26</v>
      </c>
      <c r="F22" s="74">
        <v>1</v>
      </c>
      <c r="G22" s="74"/>
      <c r="H22" s="74">
        <v>3</v>
      </c>
      <c r="I22" s="74">
        <v>1</v>
      </c>
      <c r="J22" s="74"/>
      <c r="K22" s="74"/>
      <c r="L22" s="74">
        <v>48</v>
      </c>
    </row>
    <row r="23" spans="1:12" x14ac:dyDescent="0.25">
      <c r="A23" s="73" t="s">
        <v>405</v>
      </c>
      <c r="B23" s="74">
        <v>2</v>
      </c>
      <c r="C23" s="74">
        <v>2</v>
      </c>
      <c r="D23" s="74">
        <v>6</v>
      </c>
      <c r="E23" s="74">
        <v>6</v>
      </c>
      <c r="F23" s="74"/>
      <c r="G23" s="74"/>
      <c r="H23" s="74">
        <v>29</v>
      </c>
      <c r="I23" s="74">
        <v>3</v>
      </c>
      <c r="J23" s="74"/>
      <c r="K23" s="74"/>
      <c r="L23" s="74">
        <v>48</v>
      </c>
    </row>
    <row r="24" spans="1:12" x14ac:dyDescent="0.25">
      <c r="A24" s="73" t="s">
        <v>433</v>
      </c>
      <c r="B24" s="74">
        <v>6</v>
      </c>
      <c r="C24" s="74">
        <v>3</v>
      </c>
      <c r="D24" s="74">
        <v>5</v>
      </c>
      <c r="E24" s="74">
        <v>20</v>
      </c>
      <c r="F24" s="74">
        <v>1</v>
      </c>
      <c r="G24" s="74"/>
      <c r="H24" s="74">
        <v>4</v>
      </c>
      <c r="I24" s="74">
        <v>2</v>
      </c>
      <c r="J24" s="74"/>
      <c r="K24" s="74"/>
      <c r="L24" s="74">
        <v>41</v>
      </c>
    </row>
    <row r="25" spans="1:12" x14ac:dyDescent="0.25">
      <c r="A25" s="73" t="s">
        <v>394</v>
      </c>
      <c r="B25" s="74">
        <v>11</v>
      </c>
      <c r="C25" s="74">
        <v>1</v>
      </c>
      <c r="D25" s="74">
        <v>6</v>
      </c>
      <c r="E25" s="74">
        <v>23</v>
      </c>
      <c r="F25" s="74">
        <v>1</v>
      </c>
      <c r="G25" s="74"/>
      <c r="H25" s="74">
        <v>4</v>
      </c>
      <c r="I25" s="74">
        <v>2</v>
      </c>
      <c r="J25" s="74"/>
      <c r="K25" s="74"/>
      <c r="L25" s="74">
        <v>48</v>
      </c>
    </row>
    <row r="26" spans="1:12" x14ac:dyDescent="0.25">
      <c r="A26" s="73" t="s">
        <v>434</v>
      </c>
      <c r="B26" s="74">
        <v>2</v>
      </c>
      <c r="C26" s="74">
        <v>1</v>
      </c>
      <c r="D26" s="74">
        <v>6</v>
      </c>
      <c r="E26" s="74">
        <v>5</v>
      </c>
      <c r="F26" s="74"/>
      <c r="G26" s="74"/>
      <c r="H26" s="74">
        <v>31</v>
      </c>
      <c r="I26" s="74">
        <v>3</v>
      </c>
      <c r="J26" s="74"/>
      <c r="K26" s="74"/>
      <c r="L26" s="74">
        <v>48</v>
      </c>
    </row>
    <row r="27" spans="1:12" x14ac:dyDescent="0.25">
      <c r="A27" s="73" t="s">
        <v>435</v>
      </c>
      <c r="B27" s="74">
        <v>4</v>
      </c>
      <c r="C27" s="74"/>
      <c r="D27" s="74">
        <v>7</v>
      </c>
      <c r="E27" s="74">
        <v>1</v>
      </c>
      <c r="F27" s="74"/>
      <c r="G27" s="74"/>
      <c r="H27" s="74">
        <v>32</v>
      </c>
      <c r="I27" s="74">
        <v>4</v>
      </c>
      <c r="J27" s="74"/>
      <c r="K27" s="74"/>
      <c r="L27" s="74">
        <v>48</v>
      </c>
    </row>
    <row r="28" spans="1:12" x14ac:dyDescent="0.25">
      <c r="A28" s="73" t="s">
        <v>280</v>
      </c>
      <c r="B28" s="74"/>
      <c r="C28" s="74"/>
      <c r="D28" s="74"/>
      <c r="E28" s="74"/>
      <c r="F28" s="74"/>
      <c r="G28" s="74">
        <v>47</v>
      </c>
      <c r="H28" s="74"/>
      <c r="I28" s="74"/>
      <c r="J28" s="74"/>
      <c r="K28" s="74"/>
      <c r="L28" s="74">
        <v>47</v>
      </c>
    </row>
    <row r="29" spans="1:12" x14ac:dyDescent="0.25">
      <c r="A29" s="73" t="s">
        <v>395</v>
      </c>
      <c r="B29" s="74">
        <v>1</v>
      </c>
      <c r="C29" s="74">
        <v>2</v>
      </c>
      <c r="D29" s="74">
        <v>6</v>
      </c>
      <c r="E29" s="74">
        <v>1</v>
      </c>
      <c r="F29" s="74"/>
      <c r="G29" s="74"/>
      <c r="H29" s="74">
        <v>35</v>
      </c>
      <c r="I29" s="74">
        <v>3</v>
      </c>
      <c r="J29" s="74"/>
      <c r="K29" s="74"/>
      <c r="L29" s="74">
        <v>48</v>
      </c>
    </row>
    <row r="30" spans="1:12" x14ac:dyDescent="0.25">
      <c r="A30" s="73" t="s">
        <v>436</v>
      </c>
      <c r="B30" s="74">
        <v>2</v>
      </c>
      <c r="C30" s="74"/>
      <c r="D30" s="74">
        <v>7</v>
      </c>
      <c r="E30" s="74">
        <v>2</v>
      </c>
      <c r="F30" s="74">
        <v>1</v>
      </c>
      <c r="G30" s="74"/>
      <c r="H30" s="74">
        <v>32</v>
      </c>
      <c r="I30" s="74">
        <v>4</v>
      </c>
      <c r="J30" s="74"/>
      <c r="K30" s="74"/>
      <c r="L30" s="74">
        <v>48</v>
      </c>
    </row>
    <row r="31" spans="1:12" x14ac:dyDescent="0.25">
      <c r="A31" s="73" t="s">
        <v>207</v>
      </c>
      <c r="B31" s="74">
        <v>5</v>
      </c>
      <c r="C31" s="74">
        <v>1</v>
      </c>
      <c r="D31" s="74">
        <v>8</v>
      </c>
      <c r="E31" s="74">
        <v>3</v>
      </c>
      <c r="F31" s="74">
        <v>1</v>
      </c>
      <c r="G31" s="74"/>
      <c r="H31" s="74">
        <v>27</v>
      </c>
      <c r="I31" s="74">
        <v>3</v>
      </c>
      <c r="J31" s="74"/>
      <c r="K31" s="74"/>
      <c r="L31" s="74">
        <v>48</v>
      </c>
    </row>
    <row r="32" spans="1:12" x14ac:dyDescent="0.25">
      <c r="A32" s="73" t="s">
        <v>437</v>
      </c>
      <c r="B32" s="74">
        <v>7</v>
      </c>
      <c r="C32" s="74">
        <v>3</v>
      </c>
      <c r="D32" s="74">
        <v>4</v>
      </c>
      <c r="E32" s="74">
        <v>26</v>
      </c>
      <c r="F32" s="74">
        <v>2</v>
      </c>
      <c r="G32" s="74"/>
      <c r="H32" s="74">
        <v>4</v>
      </c>
      <c r="I32" s="74">
        <v>2</v>
      </c>
      <c r="J32" s="74"/>
      <c r="K32" s="74"/>
      <c r="L32" s="74">
        <v>48</v>
      </c>
    </row>
    <row r="33" spans="1:12" x14ac:dyDescent="0.25">
      <c r="A33" s="73" t="s">
        <v>281</v>
      </c>
      <c r="B33" s="74">
        <v>7</v>
      </c>
      <c r="C33" s="74"/>
      <c r="D33" s="74">
        <v>3</v>
      </c>
      <c r="E33" s="74">
        <v>25</v>
      </c>
      <c r="F33" s="74"/>
      <c r="G33" s="74"/>
      <c r="H33" s="74">
        <v>12</v>
      </c>
      <c r="I33" s="74">
        <v>1</v>
      </c>
      <c r="J33" s="74"/>
      <c r="K33" s="74"/>
      <c r="L33" s="74">
        <v>48</v>
      </c>
    </row>
    <row r="34" spans="1:12" x14ac:dyDescent="0.25">
      <c r="A34" s="73" t="s">
        <v>340</v>
      </c>
      <c r="B34" s="74">
        <v>7</v>
      </c>
      <c r="C34" s="74">
        <v>3</v>
      </c>
      <c r="D34" s="74">
        <v>4</v>
      </c>
      <c r="E34" s="74">
        <v>21</v>
      </c>
      <c r="F34" s="74">
        <v>1</v>
      </c>
      <c r="G34" s="74"/>
      <c r="H34" s="74">
        <v>6</v>
      </c>
      <c r="I34" s="74">
        <v>2</v>
      </c>
      <c r="J34" s="74"/>
      <c r="K34" s="74"/>
      <c r="L34" s="74">
        <v>44</v>
      </c>
    </row>
    <row r="35" spans="1:12" x14ac:dyDescent="0.25">
      <c r="A35" s="73" t="s">
        <v>424</v>
      </c>
      <c r="B35" s="74">
        <v>4</v>
      </c>
      <c r="C35" s="74">
        <v>1</v>
      </c>
      <c r="D35" s="74">
        <v>6</v>
      </c>
      <c r="E35" s="74">
        <v>2</v>
      </c>
      <c r="F35" s="74">
        <v>1</v>
      </c>
      <c r="G35" s="74"/>
      <c r="H35" s="74">
        <v>24</v>
      </c>
      <c r="I35" s="74">
        <v>3</v>
      </c>
      <c r="J35" s="74"/>
      <c r="K35" s="74"/>
      <c r="L35" s="74">
        <v>41</v>
      </c>
    </row>
    <row r="36" spans="1:12" x14ac:dyDescent="0.25">
      <c r="A36" s="73" t="s">
        <v>351</v>
      </c>
      <c r="B36" s="74">
        <v>4</v>
      </c>
      <c r="C36" s="74"/>
      <c r="D36" s="74">
        <v>7</v>
      </c>
      <c r="E36" s="74">
        <v>3</v>
      </c>
      <c r="F36" s="74"/>
      <c r="G36" s="74"/>
      <c r="H36" s="74">
        <v>29</v>
      </c>
      <c r="I36" s="74">
        <v>4</v>
      </c>
      <c r="J36" s="74"/>
      <c r="K36" s="74">
        <v>1</v>
      </c>
      <c r="L36" s="74">
        <v>48</v>
      </c>
    </row>
    <row r="37" spans="1:12" x14ac:dyDescent="0.25">
      <c r="A37" s="73" t="s">
        <v>212</v>
      </c>
      <c r="B37" s="74">
        <v>1</v>
      </c>
      <c r="C37" s="74">
        <v>1</v>
      </c>
      <c r="D37" s="74">
        <v>6</v>
      </c>
      <c r="E37" s="74">
        <v>6</v>
      </c>
      <c r="F37" s="74"/>
      <c r="G37" s="74"/>
      <c r="H37" s="74">
        <v>31</v>
      </c>
      <c r="I37" s="74">
        <v>3</v>
      </c>
      <c r="J37" s="74"/>
      <c r="K37" s="74"/>
      <c r="L37" s="74">
        <v>48</v>
      </c>
    </row>
    <row r="38" spans="1:12" x14ac:dyDescent="0.25">
      <c r="A38" s="73" t="s">
        <v>344</v>
      </c>
      <c r="B38" s="74">
        <v>11</v>
      </c>
      <c r="C38" s="74">
        <v>2</v>
      </c>
      <c r="D38" s="74">
        <v>5</v>
      </c>
      <c r="E38" s="74">
        <v>21</v>
      </c>
      <c r="F38" s="74">
        <v>1</v>
      </c>
      <c r="G38" s="74"/>
      <c r="H38" s="74">
        <v>6</v>
      </c>
      <c r="I38" s="74">
        <v>2</v>
      </c>
      <c r="J38" s="74"/>
      <c r="K38" s="74"/>
      <c r="L38" s="74">
        <v>48</v>
      </c>
    </row>
    <row r="39" spans="1:12" x14ac:dyDescent="0.25">
      <c r="A39" s="73" t="s">
        <v>453</v>
      </c>
      <c r="B39" s="74">
        <v>5</v>
      </c>
      <c r="C39" s="74">
        <v>1</v>
      </c>
      <c r="D39" s="74">
        <v>7</v>
      </c>
      <c r="E39" s="74">
        <v>2</v>
      </c>
      <c r="F39" s="74">
        <v>1</v>
      </c>
      <c r="G39" s="74"/>
      <c r="H39" s="74">
        <v>22</v>
      </c>
      <c r="I39" s="74">
        <v>3</v>
      </c>
      <c r="J39" s="74"/>
      <c r="K39" s="74"/>
      <c r="L39" s="74">
        <v>41</v>
      </c>
    </row>
    <row r="40" spans="1:12" x14ac:dyDescent="0.25">
      <c r="A40" s="73" t="s">
        <v>213</v>
      </c>
      <c r="B40" s="74">
        <v>1</v>
      </c>
      <c r="C40" s="74">
        <v>1</v>
      </c>
      <c r="D40" s="74">
        <v>6</v>
      </c>
      <c r="E40" s="74">
        <v>2</v>
      </c>
      <c r="F40" s="74">
        <v>1</v>
      </c>
      <c r="G40" s="74"/>
      <c r="H40" s="74">
        <v>34</v>
      </c>
      <c r="I40" s="74">
        <v>3</v>
      </c>
      <c r="J40" s="74"/>
      <c r="K40" s="74"/>
      <c r="L40" s="74">
        <v>48</v>
      </c>
    </row>
    <row r="41" spans="1:12" x14ac:dyDescent="0.25">
      <c r="A41" s="73" t="s">
        <v>415</v>
      </c>
      <c r="B41" s="74">
        <v>2</v>
      </c>
      <c r="C41" s="74">
        <v>2</v>
      </c>
      <c r="D41" s="74">
        <v>6</v>
      </c>
      <c r="E41" s="74">
        <v>3</v>
      </c>
      <c r="F41" s="74"/>
      <c r="G41" s="74"/>
      <c r="H41" s="74">
        <v>32</v>
      </c>
      <c r="I41" s="74">
        <v>3</v>
      </c>
      <c r="J41" s="74"/>
      <c r="K41" s="74"/>
      <c r="L41" s="74">
        <v>48</v>
      </c>
    </row>
    <row r="42" spans="1:12" x14ac:dyDescent="0.25">
      <c r="A42" s="73" t="s">
        <v>283</v>
      </c>
      <c r="B42" s="74">
        <v>3</v>
      </c>
      <c r="C42" s="74"/>
      <c r="D42" s="74">
        <v>7</v>
      </c>
      <c r="E42" s="74">
        <v>1</v>
      </c>
      <c r="F42" s="74">
        <v>1</v>
      </c>
      <c r="G42" s="74"/>
      <c r="H42" s="74">
        <v>32</v>
      </c>
      <c r="I42" s="74">
        <v>4</v>
      </c>
      <c r="J42" s="74"/>
      <c r="K42" s="74"/>
      <c r="L42" s="74">
        <v>48</v>
      </c>
    </row>
    <row r="43" spans="1:12" x14ac:dyDescent="0.25">
      <c r="A43" s="73" t="s">
        <v>284</v>
      </c>
      <c r="B43" s="74">
        <v>1</v>
      </c>
      <c r="C43" s="74"/>
      <c r="D43" s="74">
        <v>5</v>
      </c>
      <c r="E43" s="74"/>
      <c r="F43" s="74"/>
      <c r="G43" s="74"/>
      <c r="H43" s="74">
        <v>40</v>
      </c>
      <c r="I43" s="74">
        <v>2</v>
      </c>
      <c r="J43" s="74"/>
      <c r="K43" s="74"/>
      <c r="L43" s="74">
        <v>48</v>
      </c>
    </row>
    <row r="44" spans="1:12" x14ac:dyDescent="0.25">
      <c r="A44" s="73" t="s">
        <v>286</v>
      </c>
      <c r="B44" s="74">
        <v>1</v>
      </c>
      <c r="C44" s="74"/>
      <c r="D44" s="74">
        <v>5</v>
      </c>
      <c r="E44" s="74"/>
      <c r="F44" s="74"/>
      <c r="G44" s="74"/>
      <c r="H44" s="74">
        <v>40</v>
      </c>
      <c r="I44" s="74">
        <v>2</v>
      </c>
      <c r="J44" s="74"/>
      <c r="K44" s="74"/>
      <c r="L44" s="74">
        <v>48</v>
      </c>
    </row>
    <row r="45" spans="1:12" x14ac:dyDescent="0.25">
      <c r="A45" s="73" t="s">
        <v>460</v>
      </c>
      <c r="B45" s="74">
        <v>1</v>
      </c>
      <c r="C45" s="74">
        <v>2</v>
      </c>
      <c r="D45" s="74">
        <v>5</v>
      </c>
      <c r="E45" s="74"/>
      <c r="F45" s="74"/>
      <c r="G45" s="74"/>
      <c r="H45" s="74">
        <v>28</v>
      </c>
      <c r="I45" s="74">
        <v>2</v>
      </c>
      <c r="J45" s="74"/>
      <c r="K45" s="74"/>
      <c r="L45" s="74">
        <v>38</v>
      </c>
    </row>
    <row r="46" spans="1:12" x14ac:dyDescent="0.25">
      <c r="A46" s="73" t="s">
        <v>214</v>
      </c>
      <c r="B46" s="74">
        <v>11</v>
      </c>
      <c r="C46" s="74">
        <v>1</v>
      </c>
      <c r="D46" s="74">
        <v>5</v>
      </c>
      <c r="E46" s="74">
        <v>27</v>
      </c>
      <c r="F46" s="74">
        <v>1</v>
      </c>
      <c r="G46" s="74"/>
      <c r="H46" s="74">
        <v>1</v>
      </c>
      <c r="I46" s="74">
        <v>2</v>
      </c>
      <c r="J46" s="74"/>
      <c r="K46" s="74"/>
      <c r="L46" s="74">
        <v>48</v>
      </c>
    </row>
    <row r="47" spans="1:12" x14ac:dyDescent="0.25">
      <c r="A47" s="73" t="s">
        <v>438</v>
      </c>
      <c r="B47" s="74">
        <v>8</v>
      </c>
      <c r="C47" s="74">
        <v>3</v>
      </c>
      <c r="D47" s="74">
        <v>5</v>
      </c>
      <c r="E47" s="74">
        <v>22</v>
      </c>
      <c r="F47" s="74">
        <v>1</v>
      </c>
      <c r="G47" s="74"/>
      <c r="H47" s="74">
        <v>7</v>
      </c>
      <c r="I47" s="74">
        <v>2</v>
      </c>
      <c r="J47" s="74"/>
      <c r="K47" s="74"/>
      <c r="L47" s="74">
        <v>48</v>
      </c>
    </row>
    <row r="48" spans="1:12" x14ac:dyDescent="0.25">
      <c r="A48" s="73" t="s">
        <v>411</v>
      </c>
      <c r="B48" s="74">
        <v>1</v>
      </c>
      <c r="C48" s="74">
        <v>4</v>
      </c>
      <c r="D48" s="74">
        <v>6</v>
      </c>
      <c r="E48" s="74">
        <v>1</v>
      </c>
      <c r="F48" s="74">
        <v>1</v>
      </c>
      <c r="G48" s="74"/>
      <c r="H48" s="74">
        <v>26</v>
      </c>
      <c r="I48" s="74">
        <v>2</v>
      </c>
      <c r="J48" s="74"/>
      <c r="K48" s="74"/>
      <c r="L48" s="74">
        <v>41</v>
      </c>
    </row>
    <row r="49" spans="1:12" x14ac:dyDescent="0.25">
      <c r="A49" s="73" t="s">
        <v>218</v>
      </c>
      <c r="B49" s="74">
        <v>8</v>
      </c>
      <c r="C49" s="74"/>
      <c r="D49" s="74">
        <v>3</v>
      </c>
      <c r="E49" s="74">
        <v>27</v>
      </c>
      <c r="F49" s="74"/>
      <c r="G49" s="74"/>
      <c r="H49" s="74">
        <v>9</v>
      </c>
      <c r="I49" s="74">
        <v>1</v>
      </c>
      <c r="J49" s="74"/>
      <c r="K49" s="74"/>
      <c r="L49" s="74">
        <v>48</v>
      </c>
    </row>
    <row r="50" spans="1:12" x14ac:dyDescent="0.25">
      <c r="A50" s="73" t="s">
        <v>221</v>
      </c>
      <c r="B50" s="74">
        <v>4</v>
      </c>
      <c r="C50" s="74">
        <v>1</v>
      </c>
      <c r="D50" s="74">
        <v>7</v>
      </c>
      <c r="E50" s="74">
        <v>1</v>
      </c>
      <c r="F50" s="74"/>
      <c r="G50" s="74"/>
      <c r="H50" s="74">
        <v>31</v>
      </c>
      <c r="I50" s="74">
        <v>4</v>
      </c>
      <c r="J50" s="74"/>
      <c r="K50" s="74"/>
      <c r="L50" s="74">
        <v>48</v>
      </c>
    </row>
    <row r="51" spans="1:12" x14ac:dyDescent="0.25">
      <c r="A51" s="73" t="s">
        <v>439</v>
      </c>
      <c r="B51" s="74"/>
      <c r="C51" s="74"/>
      <c r="D51" s="74"/>
      <c r="E51" s="74"/>
      <c r="F51" s="74"/>
      <c r="G51" s="74">
        <v>47</v>
      </c>
      <c r="H51" s="74"/>
      <c r="I51" s="74"/>
      <c r="J51" s="74"/>
      <c r="K51" s="74"/>
      <c r="L51" s="74">
        <v>47</v>
      </c>
    </row>
    <row r="52" spans="1:12" x14ac:dyDescent="0.25">
      <c r="A52" s="73" t="s">
        <v>418</v>
      </c>
      <c r="B52" s="74">
        <v>3</v>
      </c>
      <c r="C52" s="74"/>
      <c r="D52" s="74">
        <v>7</v>
      </c>
      <c r="E52" s="74">
        <v>1</v>
      </c>
      <c r="F52" s="74"/>
      <c r="G52" s="74"/>
      <c r="H52" s="74">
        <v>27</v>
      </c>
      <c r="I52" s="74">
        <v>3</v>
      </c>
      <c r="J52" s="74"/>
      <c r="K52" s="74"/>
      <c r="L52" s="74">
        <v>41</v>
      </c>
    </row>
    <row r="53" spans="1:12" x14ac:dyDescent="0.25">
      <c r="A53" s="73" t="s">
        <v>287</v>
      </c>
      <c r="B53" s="74">
        <v>3</v>
      </c>
      <c r="C53" s="74"/>
      <c r="D53" s="74">
        <v>5</v>
      </c>
      <c r="E53" s="74">
        <v>1</v>
      </c>
      <c r="F53" s="74"/>
      <c r="G53" s="74"/>
      <c r="H53" s="74">
        <v>37</v>
      </c>
      <c r="I53" s="74">
        <v>2</v>
      </c>
      <c r="J53" s="74"/>
      <c r="K53" s="74"/>
      <c r="L53" s="74">
        <v>48</v>
      </c>
    </row>
    <row r="54" spans="1:12" x14ac:dyDescent="0.25">
      <c r="A54" s="73" t="s">
        <v>288</v>
      </c>
      <c r="B54" s="74">
        <v>1</v>
      </c>
      <c r="C54" s="74"/>
      <c r="D54" s="74">
        <v>6</v>
      </c>
      <c r="E54" s="74">
        <v>1</v>
      </c>
      <c r="F54" s="74">
        <v>1</v>
      </c>
      <c r="G54" s="74"/>
      <c r="H54" s="74">
        <v>36</v>
      </c>
      <c r="I54" s="74">
        <v>3</v>
      </c>
      <c r="J54" s="74"/>
      <c r="K54" s="74"/>
      <c r="L54" s="74">
        <v>48</v>
      </c>
    </row>
    <row r="55" spans="1:12" x14ac:dyDescent="0.25">
      <c r="A55" s="73" t="s">
        <v>440</v>
      </c>
      <c r="B55" s="74">
        <v>7</v>
      </c>
      <c r="C55" s="74">
        <v>3</v>
      </c>
      <c r="D55" s="74">
        <v>4</v>
      </c>
      <c r="E55" s="74">
        <v>26</v>
      </c>
      <c r="F55" s="74">
        <v>1</v>
      </c>
      <c r="G55" s="74"/>
      <c r="H55" s="74">
        <v>6</v>
      </c>
      <c r="I55" s="74">
        <v>1</v>
      </c>
      <c r="J55" s="74"/>
      <c r="K55" s="74"/>
      <c r="L55" s="74">
        <v>48</v>
      </c>
    </row>
    <row r="56" spans="1:12" x14ac:dyDescent="0.25">
      <c r="A56" s="73" t="s">
        <v>223</v>
      </c>
      <c r="B56" s="74">
        <v>2</v>
      </c>
      <c r="C56" s="74">
        <v>2</v>
      </c>
      <c r="D56" s="74">
        <v>6</v>
      </c>
      <c r="E56" s="74">
        <v>6</v>
      </c>
      <c r="F56" s="74">
        <v>1</v>
      </c>
      <c r="G56" s="74"/>
      <c r="H56" s="74">
        <v>25</v>
      </c>
      <c r="I56" s="74">
        <v>3</v>
      </c>
      <c r="J56" s="74"/>
      <c r="K56" s="74"/>
      <c r="L56" s="74">
        <v>45</v>
      </c>
    </row>
    <row r="57" spans="1:12" x14ac:dyDescent="0.25">
      <c r="A57" s="73" t="s">
        <v>290</v>
      </c>
      <c r="B57" s="74">
        <v>1</v>
      </c>
      <c r="C57" s="74"/>
      <c r="D57" s="74">
        <v>5</v>
      </c>
      <c r="E57" s="74">
        <v>1</v>
      </c>
      <c r="F57" s="74"/>
      <c r="G57" s="74"/>
      <c r="H57" s="74">
        <v>39</v>
      </c>
      <c r="I57" s="74">
        <v>2</v>
      </c>
      <c r="J57" s="74"/>
      <c r="K57" s="74"/>
      <c r="L57" s="74">
        <v>48</v>
      </c>
    </row>
    <row r="58" spans="1:12" x14ac:dyDescent="0.25">
      <c r="A58" s="73" t="s">
        <v>224</v>
      </c>
      <c r="B58" s="74">
        <v>4</v>
      </c>
      <c r="C58" s="74">
        <v>1</v>
      </c>
      <c r="D58" s="74">
        <v>7</v>
      </c>
      <c r="E58" s="74">
        <v>2</v>
      </c>
      <c r="F58" s="74"/>
      <c r="G58" s="74"/>
      <c r="H58" s="74">
        <v>30</v>
      </c>
      <c r="I58" s="74">
        <v>4</v>
      </c>
      <c r="J58" s="74"/>
      <c r="K58" s="74"/>
      <c r="L58" s="74">
        <v>48</v>
      </c>
    </row>
    <row r="59" spans="1:12" x14ac:dyDescent="0.25">
      <c r="A59" s="73" t="s">
        <v>226</v>
      </c>
      <c r="B59" s="74"/>
      <c r="C59" s="74"/>
      <c r="D59" s="74"/>
      <c r="E59" s="74"/>
      <c r="F59" s="74"/>
      <c r="G59" s="74">
        <v>47</v>
      </c>
      <c r="H59" s="74"/>
      <c r="I59" s="74"/>
      <c r="J59" s="74"/>
      <c r="K59" s="74"/>
      <c r="L59" s="74">
        <v>47</v>
      </c>
    </row>
    <row r="60" spans="1:12" x14ac:dyDescent="0.25">
      <c r="A60" s="73" t="s">
        <v>342</v>
      </c>
      <c r="B60" s="74">
        <v>12</v>
      </c>
      <c r="C60" s="74">
        <v>1</v>
      </c>
      <c r="D60" s="74">
        <v>6</v>
      </c>
      <c r="E60" s="74">
        <v>23</v>
      </c>
      <c r="F60" s="74">
        <v>1</v>
      </c>
      <c r="G60" s="74"/>
      <c r="H60" s="74">
        <v>2</v>
      </c>
      <c r="I60" s="74">
        <v>3</v>
      </c>
      <c r="J60" s="74"/>
      <c r="K60" s="74"/>
      <c r="L60" s="74">
        <v>48</v>
      </c>
    </row>
    <row r="61" spans="1:12" x14ac:dyDescent="0.25">
      <c r="A61" s="73" t="s">
        <v>428</v>
      </c>
      <c r="B61" s="74">
        <v>1</v>
      </c>
      <c r="C61" s="74">
        <v>1</v>
      </c>
      <c r="D61" s="74">
        <v>6</v>
      </c>
      <c r="E61" s="74">
        <v>1</v>
      </c>
      <c r="F61" s="74"/>
      <c r="G61" s="74"/>
      <c r="H61" s="74">
        <v>37</v>
      </c>
      <c r="I61" s="74">
        <v>2</v>
      </c>
      <c r="J61" s="74"/>
      <c r="K61" s="74"/>
      <c r="L61" s="74">
        <v>48</v>
      </c>
    </row>
    <row r="62" spans="1:12" x14ac:dyDescent="0.25">
      <c r="A62" s="73" t="s">
        <v>227</v>
      </c>
      <c r="B62" s="74">
        <v>2</v>
      </c>
      <c r="C62" s="74">
        <v>1</v>
      </c>
      <c r="D62" s="74">
        <v>6</v>
      </c>
      <c r="E62" s="74">
        <v>2</v>
      </c>
      <c r="F62" s="74"/>
      <c r="G62" s="74"/>
      <c r="H62" s="74">
        <v>35</v>
      </c>
      <c r="I62" s="74">
        <v>2</v>
      </c>
      <c r="J62" s="74"/>
      <c r="K62" s="74"/>
      <c r="L62" s="74">
        <v>48</v>
      </c>
    </row>
    <row r="63" spans="1:12" x14ac:dyDescent="0.25">
      <c r="A63" s="73" t="s">
        <v>421</v>
      </c>
      <c r="B63" s="74">
        <v>8</v>
      </c>
      <c r="C63" s="74">
        <v>2</v>
      </c>
      <c r="D63" s="74">
        <v>4</v>
      </c>
      <c r="E63" s="74">
        <v>25</v>
      </c>
      <c r="F63" s="74">
        <v>1</v>
      </c>
      <c r="G63" s="74"/>
      <c r="H63" s="74">
        <v>6</v>
      </c>
      <c r="I63" s="74">
        <v>2</v>
      </c>
      <c r="J63" s="74"/>
      <c r="K63" s="74"/>
      <c r="L63" s="74">
        <v>48</v>
      </c>
    </row>
    <row r="64" spans="1:12" x14ac:dyDescent="0.25">
      <c r="A64" s="73" t="s">
        <v>441</v>
      </c>
      <c r="B64" s="74">
        <v>11</v>
      </c>
      <c r="C64" s="74">
        <v>1</v>
      </c>
      <c r="D64" s="74">
        <v>5</v>
      </c>
      <c r="E64" s="74">
        <v>26</v>
      </c>
      <c r="F64" s="74">
        <v>1</v>
      </c>
      <c r="G64" s="74"/>
      <c r="H64" s="74">
        <v>2</v>
      </c>
      <c r="I64" s="74">
        <v>2</v>
      </c>
      <c r="J64" s="74"/>
      <c r="K64" s="74"/>
      <c r="L64" s="74">
        <v>48</v>
      </c>
    </row>
    <row r="65" spans="1:12" x14ac:dyDescent="0.25">
      <c r="A65" s="73" t="s">
        <v>228</v>
      </c>
      <c r="B65" s="74">
        <v>3</v>
      </c>
      <c r="C65" s="74"/>
      <c r="D65" s="74">
        <v>8</v>
      </c>
      <c r="E65" s="74"/>
      <c r="F65" s="74"/>
      <c r="G65" s="74"/>
      <c r="H65" s="74">
        <v>34</v>
      </c>
      <c r="I65" s="74">
        <v>3</v>
      </c>
      <c r="J65" s="74"/>
      <c r="K65" s="74"/>
      <c r="L65" s="74">
        <v>48</v>
      </c>
    </row>
    <row r="66" spans="1:12" x14ac:dyDescent="0.25">
      <c r="A66" s="73" t="s">
        <v>292</v>
      </c>
      <c r="B66" s="74">
        <v>12</v>
      </c>
      <c r="C66" s="74">
        <v>2</v>
      </c>
      <c r="D66" s="74">
        <v>5</v>
      </c>
      <c r="E66" s="74">
        <v>26</v>
      </c>
      <c r="F66" s="74">
        <v>1</v>
      </c>
      <c r="G66" s="74"/>
      <c r="H66" s="74"/>
      <c r="I66" s="74">
        <v>2</v>
      </c>
      <c r="J66" s="74"/>
      <c r="K66" s="74"/>
      <c r="L66" s="74">
        <v>48</v>
      </c>
    </row>
    <row r="67" spans="1:12" x14ac:dyDescent="0.25">
      <c r="A67" s="73" t="s">
        <v>293</v>
      </c>
      <c r="B67" s="74">
        <v>1</v>
      </c>
      <c r="C67" s="74"/>
      <c r="D67" s="74">
        <v>4</v>
      </c>
      <c r="E67" s="74"/>
      <c r="F67" s="74"/>
      <c r="G67" s="74"/>
      <c r="H67" s="74">
        <v>34</v>
      </c>
      <c r="I67" s="74">
        <v>2</v>
      </c>
      <c r="J67" s="74"/>
      <c r="K67" s="74"/>
      <c r="L67" s="74">
        <v>41</v>
      </c>
    </row>
    <row r="68" spans="1:12" x14ac:dyDescent="0.25">
      <c r="A68" s="73" t="s">
        <v>425</v>
      </c>
      <c r="B68" s="74">
        <v>5</v>
      </c>
      <c r="C68" s="74">
        <v>1</v>
      </c>
      <c r="D68" s="74">
        <v>7</v>
      </c>
      <c r="E68" s="74">
        <v>4</v>
      </c>
      <c r="F68" s="74"/>
      <c r="G68" s="74"/>
      <c r="H68" s="74">
        <v>28</v>
      </c>
      <c r="I68" s="74">
        <v>3</v>
      </c>
      <c r="J68" s="74"/>
      <c r="K68" s="74"/>
      <c r="L68" s="74">
        <v>48</v>
      </c>
    </row>
    <row r="69" spans="1:12" x14ac:dyDescent="0.25">
      <c r="A69" s="73" t="s">
        <v>229</v>
      </c>
      <c r="B69" s="74">
        <v>12</v>
      </c>
      <c r="C69" s="74">
        <v>1</v>
      </c>
      <c r="D69" s="74">
        <v>6</v>
      </c>
      <c r="E69" s="74">
        <v>25</v>
      </c>
      <c r="F69" s="74">
        <v>1</v>
      </c>
      <c r="G69" s="74"/>
      <c r="H69" s="74">
        <v>1</v>
      </c>
      <c r="I69" s="74">
        <v>2</v>
      </c>
      <c r="J69" s="74"/>
      <c r="K69" s="74"/>
      <c r="L69" s="74">
        <v>48</v>
      </c>
    </row>
    <row r="70" spans="1:12" x14ac:dyDescent="0.25">
      <c r="A70" s="73" t="s">
        <v>338</v>
      </c>
      <c r="B70" s="74">
        <v>12</v>
      </c>
      <c r="C70" s="74">
        <v>1</v>
      </c>
      <c r="D70" s="74">
        <v>6</v>
      </c>
      <c r="E70" s="74">
        <v>18</v>
      </c>
      <c r="F70" s="74">
        <v>1</v>
      </c>
      <c r="G70" s="74"/>
      <c r="H70" s="74">
        <v>8</v>
      </c>
      <c r="I70" s="74">
        <v>2</v>
      </c>
      <c r="J70" s="74"/>
      <c r="K70" s="74"/>
      <c r="L70" s="74">
        <v>48</v>
      </c>
    </row>
    <row r="71" spans="1:12" x14ac:dyDescent="0.25">
      <c r="A71" s="73" t="s">
        <v>397</v>
      </c>
      <c r="B71" s="74">
        <v>7</v>
      </c>
      <c r="C71" s="74">
        <v>2</v>
      </c>
      <c r="D71" s="74">
        <v>4</v>
      </c>
      <c r="E71" s="74">
        <v>27</v>
      </c>
      <c r="F71" s="74">
        <v>2</v>
      </c>
      <c r="G71" s="74"/>
      <c r="H71" s="74">
        <v>4</v>
      </c>
      <c r="I71" s="74">
        <v>2</v>
      </c>
      <c r="J71" s="74"/>
      <c r="K71" s="74"/>
      <c r="L71" s="74">
        <v>48</v>
      </c>
    </row>
    <row r="72" spans="1:12" x14ac:dyDescent="0.25">
      <c r="A72" s="73" t="s">
        <v>294</v>
      </c>
      <c r="B72" s="74">
        <v>6</v>
      </c>
      <c r="C72" s="74">
        <v>4</v>
      </c>
      <c r="D72" s="74">
        <v>5</v>
      </c>
      <c r="E72" s="74">
        <v>20</v>
      </c>
      <c r="F72" s="74">
        <v>1</v>
      </c>
      <c r="G72" s="74"/>
      <c r="H72" s="74">
        <v>3</v>
      </c>
      <c r="I72" s="74">
        <v>2</v>
      </c>
      <c r="J72" s="74"/>
      <c r="K72" s="74"/>
      <c r="L72" s="74">
        <v>41</v>
      </c>
    </row>
    <row r="73" spans="1:12" x14ac:dyDescent="0.25">
      <c r="A73" s="73" t="s">
        <v>419</v>
      </c>
      <c r="B73" s="74">
        <v>1</v>
      </c>
      <c r="C73" s="74">
        <v>3</v>
      </c>
      <c r="D73" s="74">
        <v>6</v>
      </c>
      <c r="E73" s="74">
        <v>3</v>
      </c>
      <c r="F73" s="74">
        <v>1</v>
      </c>
      <c r="G73" s="74"/>
      <c r="H73" s="74">
        <v>31</v>
      </c>
      <c r="I73" s="74">
        <v>3</v>
      </c>
      <c r="J73" s="74"/>
      <c r="K73" s="74"/>
      <c r="L73" s="74">
        <v>48</v>
      </c>
    </row>
    <row r="74" spans="1:12" x14ac:dyDescent="0.25">
      <c r="A74" s="73" t="s">
        <v>295</v>
      </c>
      <c r="B74" s="74">
        <v>1</v>
      </c>
      <c r="C74" s="74">
        <v>2</v>
      </c>
      <c r="D74" s="74">
        <v>7</v>
      </c>
      <c r="E74" s="74">
        <v>5</v>
      </c>
      <c r="F74" s="74"/>
      <c r="G74" s="74"/>
      <c r="H74" s="74">
        <v>28</v>
      </c>
      <c r="I74" s="74">
        <v>2</v>
      </c>
      <c r="J74" s="74"/>
      <c r="K74" s="74"/>
      <c r="L74" s="74">
        <v>45</v>
      </c>
    </row>
    <row r="75" spans="1:12" x14ac:dyDescent="0.25">
      <c r="A75" s="73" t="s">
        <v>261</v>
      </c>
      <c r="B75" s="74">
        <v>1</v>
      </c>
      <c r="C75" s="74">
        <v>3</v>
      </c>
      <c r="D75" s="74">
        <v>5</v>
      </c>
      <c r="E75" s="74">
        <v>1</v>
      </c>
      <c r="F75" s="74"/>
      <c r="G75" s="74"/>
      <c r="H75" s="74">
        <v>26</v>
      </c>
      <c r="I75" s="74">
        <v>2</v>
      </c>
      <c r="J75" s="74"/>
      <c r="K75" s="74"/>
      <c r="L75" s="74">
        <v>38</v>
      </c>
    </row>
    <row r="76" spans="1:12" x14ac:dyDescent="0.25">
      <c r="A76" s="73" t="s">
        <v>454</v>
      </c>
      <c r="B76" s="74">
        <v>4</v>
      </c>
      <c r="C76" s="74"/>
      <c r="D76" s="74">
        <v>8</v>
      </c>
      <c r="E76" s="74">
        <v>2</v>
      </c>
      <c r="F76" s="74"/>
      <c r="G76" s="74"/>
      <c r="H76" s="74">
        <v>28</v>
      </c>
      <c r="I76" s="74">
        <v>3</v>
      </c>
      <c r="J76" s="74"/>
      <c r="K76" s="74"/>
      <c r="L76" s="74">
        <v>45</v>
      </c>
    </row>
    <row r="77" spans="1:12" x14ac:dyDescent="0.25">
      <c r="A77" s="73" t="s">
        <v>339</v>
      </c>
      <c r="B77" s="74">
        <v>12</v>
      </c>
      <c r="C77" s="74">
        <v>1</v>
      </c>
      <c r="D77" s="74">
        <v>6</v>
      </c>
      <c r="E77" s="74">
        <v>25</v>
      </c>
      <c r="F77" s="74">
        <v>1</v>
      </c>
      <c r="G77" s="74"/>
      <c r="H77" s="74">
        <v>1</v>
      </c>
      <c r="I77" s="74">
        <v>2</v>
      </c>
      <c r="J77" s="74"/>
      <c r="K77" s="74"/>
      <c r="L77" s="74">
        <v>48</v>
      </c>
    </row>
    <row r="78" spans="1:12" x14ac:dyDescent="0.25">
      <c r="A78" s="73" t="s">
        <v>297</v>
      </c>
      <c r="B78" s="74">
        <v>11</v>
      </c>
      <c r="C78" s="74">
        <v>2</v>
      </c>
      <c r="D78" s="74">
        <v>6</v>
      </c>
      <c r="E78" s="74">
        <v>26</v>
      </c>
      <c r="F78" s="74">
        <v>1</v>
      </c>
      <c r="G78" s="74"/>
      <c r="H78" s="74"/>
      <c r="I78" s="74">
        <v>2</v>
      </c>
      <c r="J78" s="74"/>
      <c r="K78" s="74"/>
      <c r="L78" s="74">
        <v>48</v>
      </c>
    </row>
    <row r="79" spans="1:12" x14ac:dyDescent="0.25">
      <c r="A79" s="73" t="s">
        <v>298</v>
      </c>
      <c r="B79" s="74">
        <v>12</v>
      </c>
      <c r="C79" s="74">
        <v>1</v>
      </c>
      <c r="D79" s="74">
        <v>5</v>
      </c>
      <c r="E79" s="74">
        <v>27</v>
      </c>
      <c r="F79" s="74">
        <v>1</v>
      </c>
      <c r="G79" s="74"/>
      <c r="H79" s="74"/>
      <c r="I79" s="74">
        <v>2</v>
      </c>
      <c r="J79" s="74"/>
      <c r="K79" s="74"/>
      <c r="L79" s="74">
        <v>48</v>
      </c>
    </row>
    <row r="80" spans="1:12" x14ac:dyDescent="0.25">
      <c r="A80" s="73" t="s">
        <v>230</v>
      </c>
      <c r="B80" s="74">
        <v>12</v>
      </c>
      <c r="C80" s="74">
        <v>1</v>
      </c>
      <c r="D80" s="74">
        <v>6</v>
      </c>
      <c r="E80" s="74">
        <v>22</v>
      </c>
      <c r="F80" s="74">
        <v>1</v>
      </c>
      <c r="G80" s="74"/>
      <c r="H80" s="74">
        <v>4</v>
      </c>
      <c r="I80" s="74">
        <v>2</v>
      </c>
      <c r="J80" s="74"/>
      <c r="K80" s="74"/>
      <c r="L80" s="74">
        <v>48</v>
      </c>
    </row>
    <row r="81" spans="1:12" x14ac:dyDescent="0.25">
      <c r="A81" s="73" t="s">
        <v>452</v>
      </c>
      <c r="B81" s="74">
        <v>1</v>
      </c>
      <c r="C81" s="74">
        <v>2</v>
      </c>
      <c r="D81" s="74">
        <v>5</v>
      </c>
      <c r="E81" s="74">
        <v>2</v>
      </c>
      <c r="F81" s="74"/>
      <c r="G81" s="74"/>
      <c r="H81" s="74">
        <v>31</v>
      </c>
      <c r="I81" s="74">
        <v>3</v>
      </c>
      <c r="J81" s="74"/>
      <c r="K81" s="74"/>
      <c r="L81" s="74">
        <v>44</v>
      </c>
    </row>
    <row r="82" spans="1:12" x14ac:dyDescent="0.25">
      <c r="A82" s="73" t="s">
        <v>233</v>
      </c>
      <c r="B82" s="74">
        <v>3</v>
      </c>
      <c r="C82" s="74"/>
      <c r="D82" s="74">
        <v>7</v>
      </c>
      <c r="E82" s="74"/>
      <c r="F82" s="74"/>
      <c r="G82" s="74"/>
      <c r="H82" s="74">
        <v>34</v>
      </c>
      <c r="I82" s="74">
        <v>4</v>
      </c>
      <c r="J82" s="74"/>
      <c r="K82" s="74"/>
      <c r="L82" s="74">
        <v>48</v>
      </c>
    </row>
    <row r="83" spans="1:12" x14ac:dyDescent="0.25">
      <c r="A83" s="73" t="s">
        <v>299</v>
      </c>
      <c r="B83" s="74">
        <v>10</v>
      </c>
      <c r="C83" s="74">
        <v>1</v>
      </c>
      <c r="D83" s="74">
        <v>5</v>
      </c>
      <c r="E83" s="74">
        <v>17</v>
      </c>
      <c r="F83" s="74">
        <v>1</v>
      </c>
      <c r="G83" s="74"/>
      <c r="H83" s="74">
        <v>5</v>
      </c>
      <c r="I83" s="74">
        <v>3</v>
      </c>
      <c r="J83" s="74"/>
      <c r="K83" s="74"/>
      <c r="L83" s="74">
        <v>42</v>
      </c>
    </row>
    <row r="84" spans="1:12" x14ac:dyDescent="0.25">
      <c r="A84" s="73" t="s">
        <v>300</v>
      </c>
      <c r="B84" s="74">
        <v>7</v>
      </c>
      <c r="C84" s="74">
        <v>3</v>
      </c>
      <c r="D84" s="74">
        <v>4</v>
      </c>
      <c r="E84" s="74">
        <v>28</v>
      </c>
      <c r="F84" s="74">
        <v>2</v>
      </c>
      <c r="G84" s="74"/>
      <c r="H84" s="74">
        <v>3</v>
      </c>
      <c r="I84" s="74">
        <v>1</v>
      </c>
      <c r="J84" s="74"/>
      <c r="K84" s="74"/>
      <c r="L84" s="74">
        <v>48</v>
      </c>
    </row>
    <row r="85" spans="1:12" x14ac:dyDescent="0.25">
      <c r="A85" s="73" t="s">
        <v>234</v>
      </c>
      <c r="B85" s="74">
        <v>5</v>
      </c>
      <c r="C85" s="74"/>
      <c r="D85" s="74">
        <v>8</v>
      </c>
      <c r="E85" s="74">
        <v>2</v>
      </c>
      <c r="F85" s="74">
        <v>1</v>
      </c>
      <c r="G85" s="74"/>
      <c r="H85" s="74">
        <v>29</v>
      </c>
      <c r="I85" s="74">
        <v>3</v>
      </c>
      <c r="J85" s="74"/>
      <c r="K85" s="74"/>
      <c r="L85" s="74">
        <v>48</v>
      </c>
    </row>
    <row r="86" spans="1:12" x14ac:dyDescent="0.25">
      <c r="A86" s="73" t="s">
        <v>398</v>
      </c>
      <c r="B86" s="74">
        <v>12</v>
      </c>
      <c r="C86" s="74">
        <v>2</v>
      </c>
      <c r="D86" s="74">
        <v>6</v>
      </c>
      <c r="E86" s="74">
        <v>23</v>
      </c>
      <c r="F86" s="74">
        <v>1</v>
      </c>
      <c r="G86" s="74"/>
      <c r="H86" s="74">
        <v>2</v>
      </c>
      <c r="I86" s="74">
        <v>2</v>
      </c>
      <c r="J86" s="74"/>
      <c r="K86" s="74"/>
      <c r="L86" s="74">
        <v>48</v>
      </c>
    </row>
    <row r="87" spans="1:12" x14ac:dyDescent="0.25">
      <c r="A87" s="73" t="s">
        <v>420</v>
      </c>
      <c r="B87" s="74"/>
      <c r="C87" s="74"/>
      <c r="D87" s="74"/>
      <c r="E87" s="74"/>
      <c r="F87" s="74"/>
      <c r="G87" s="74">
        <v>47</v>
      </c>
      <c r="H87" s="74"/>
      <c r="I87" s="74"/>
      <c r="J87" s="74"/>
      <c r="K87" s="74"/>
      <c r="L87" s="74">
        <v>47</v>
      </c>
    </row>
    <row r="88" spans="1:12" x14ac:dyDescent="0.25">
      <c r="A88" s="73" t="s">
        <v>399</v>
      </c>
      <c r="B88" s="74">
        <v>2</v>
      </c>
      <c r="C88" s="74">
        <v>1</v>
      </c>
      <c r="D88" s="74">
        <v>6</v>
      </c>
      <c r="E88" s="74">
        <v>2</v>
      </c>
      <c r="F88" s="74"/>
      <c r="G88" s="74"/>
      <c r="H88" s="74">
        <v>34</v>
      </c>
      <c r="I88" s="74">
        <v>3</v>
      </c>
      <c r="J88" s="74"/>
      <c r="K88" s="74"/>
      <c r="L88" s="74">
        <v>48</v>
      </c>
    </row>
    <row r="89" spans="1:12" x14ac:dyDescent="0.25">
      <c r="A89" s="73" t="s">
        <v>442</v>
      </c>
      <c r="B89" s="74">
        <v>3</v>
      </c>
      <c r="C89" s="74"/>
      <c r="D89" s="74">
        <v>7</v>
      </c>
      <c r="E89" s="74">
        <v>1</v>
      </c>
      <c r="F89" s="74">
        <v>1</v>
      </c>
      <c r="G89" s="74"/>
      <c r="H89" s="74">
        <v>33</v>
      </c>
      <c r="I89" s="74">
        <v>3</v>
      </c>
      <c r="J89" s="74"/>
      <c r="K89" s="74"/>
      <c r="L89" s="74">
        <v>48</v>
      </c>
    </row>
    <row r="90" spans="1:12" x14ac:dyDescent="0.25">
      <c r="A90" s="73" t="s">
        <v>443</v>
      </c>
      <c r="B90" s="74"/>
      <c r="C90" s="74"/>
      <c r="D90" s="74"/>
      <c r="E90" s="74"/>
      <c r="F90" s="74"/>
      <c r="G90" s="74">
        <v>47</v>
      </c>
      <c r="H90" s="74"/>
      <c r="I90" s="74"/>
      <c r="J90" s="74"/>
      <c r="K90" s="74"/>
      <c r="L90" s="74">
        <v>47</v>
      </c>
    </row>
    <row r="91" spans="1:12" x14ac:dyDescent="0.25">
      <c r="A91" s="73" t="s">
        <v>236</v>
      </c>
      <c r="B91" s="74">
        <v>7</v>
      </c>
      <c r="C91" s="74">
        <v>3</v>
      </c>
      <c r="D91" s="74">
        <v>5</v>
      </c>
      <c r="E91" s="74">
        <v>25</v>
      </c>
      <c r="F91" s="74">
        <v>2</v>
      </c>
      <c r="G91" s="74"/>
      <c r="H91" s="74">
        <v>4</v>
      </c>
      <c r="I91" s="74">
        <v>2</v>
      </c>
      <c r="J91" s="74"/>
      <c r="K91" s="74"/>
      <c r="L91" s="74">
        <v>48</v>
      </c>
    </row>
    <row r="92" spans="1:12" x14ac:dyDescent="0.25">
      <c r="A92" s="73" t="s">
        <v>350</v>
      </c>
      <c r="B92" s="74">
        <v>3</v>
      </c>
      <c r="C92" s="74"/>
      <c r="D92" s="74">
        <v>8</v>
      </c>
      <c r="E92" s="74">
        <v>1</v>
      </c>
      <c r="F92" s="74"/>
      <c r="G92" s="74"/>
      <c r="H92" s="74">
        <v>35</v>
      </c>
      <c r="I92" s="74">
        <v>4</v>
      </c>
      <c r="J92" s="74"/>
      <c r="K92" s="74">
        <v>1</v>
      </c>
      <c r="L92" s="74">
        <v>52</v>
      </c>
    </row>
    <row r="93" spans="1:12" x14ac:dyDescent="0.25">
      <c r="A93" s="73" t="s">
        <v>408</v>
      </c>
      <c r="B93" s="74">
        <v>4</v>
      </c>
      <c r="C93" s="74"/>
      <c r="D93" s="74">
        <v>7</v>
      </c>
      <c r="E93" s="74">
        <v>7</v>
      </c>
      <c r="F93" s="74">
        <v>1</v>
      </c>
      <c r="G93" s="74"/>
      <c r="H93" s="74">
        <v>19</v>
      </c>
      <c r="I93" s="74">
        <v>3</v>
      </c>
      <c r="J93" s="74"/>
      <c r="K93" s="74"/>
      <c r="L93" s="74">
        <v>41</v>
      </c>
    </row>
    <row r="94" spans="1:12" x14ac:dyDescent="0.25">
      <c r="A94" s="73" t="s">
        <v>406</v>
      </c>
      <c r="B94" s="74">
        <v>2</v>
      </c>
      <c r="C94" s="74">
        <v>2</v>
      </c>
      <c r="D94" s="74">
        <v>6</v>
      </c>
      <c r="E94" s="74">
        <v>4</v>
      </c>
      <c r="F94" s="74"/>
      <c r="G94" s="74"/>
      <c r="H94" s="74">
        <v>31</v>
      </c>
      <c r="I94" s="74">
        <v>3</v>
      </c>
      <c r="J94" s="74"/>
      <c r="K94" s="74"/>
      <c r="L94" s="74">
        <v>48</v>
      </c>
    </row>
    <row r="95" spans="1:12" x14ac:dyDescent="0.25">
      <c r="A95" s="73" t="s">
        <v>304</v>
      </c>
      <c r="B95" s="74">
        <v>4</v>
      </c>
      <c r="C95" s="74"/>
      <c r="D95" s="74">
        <v>5</v>
      </c>
      <c r="E95" s="74"/>
      <c r="F95" s="74"/>
      <c r="G95" s="74"/>
      <c r="H95" s="74">
        <v>37</v>
      </c>
      <c r="I95" s="74">
        <v>2</v>
      </c>
      <c r="J95" s="74"/>
      <c r="K95" s="74"/>
      <c r="L95" s="74">
        <v>48</v>
      </c>
    </row>
    <row r="96" spans="1:12" x14ac:dyDescent="0.25">
      <c r="A96" s="73" t="s">
        <v>401</v>
      </c>
      <c r="B96" s="74"/>
      <c r="C96" s="74"/>
      <c r="D96" s="74"/>
      <c r="E96" s="74"/>
      <c r="F96" s="74"/>
      <c r="G96" s="74">
        <v>47</v>
      </c>
      <c r="H96" s="74"/>
      <c r="I96" s="74"/>
      <c r="J96" s="74"/>
      <c r="K96" s="74"/>
      <c r="L96" s="74">
        <v>47</v>
      </c>
    </row>
    <row r="97" spans="1:12" x14ac:dyDescent="0.25">
      <c r="A97" s="73" t="s">
        <v>305</v>
      </c>
      <c r="B97" s="74">
        <v>5</v>
      </c>
      <c r="C97" s="74"/>
      <c r="D97" s="74">
        <v>8</v>
      </c>
      <c r="E97" s="74">
        <v>2</v>
      </c>
      <c r="F97" s="74"/>
      <c r="G97" s="74"/>
      <c r="H97" s="74">
        <v>30</v>
      </c>
      <c r="I97" s="74">
        <v>3</v>
      </c>
      <c r="J97" s="74"/>
      <c r="K97" s="74"/>
      <c r="L97" s="74">
        <v>48</v>
      </c>
    </row>
    <row r="98" spans="1:12" x14ac:dyDescent="0.25">
      <c r="A98" s="73" t="s">
        <v>409</v>
      </c>
      <c r="B98" s="74">
        <v>2</v>
      </c>
      <c r="C98" s="74">
        <v>2</v>
      </c>
      <c r="D98" s="74">
        <v>6</v>
      </c>
      <c r="E98" s="74">
        <v>2</v>
      </c>
      <c r="F98" s="74">
        <v>1</v>
      </c>
      <c r="G98" s="74"/>
      <c r="H98" s="74">
        <v>32</v>
      </c>
      <c r="I98" s="74">
        <v>3</v>
      </c>
      <c r="J98" s="74"/>
      <c r="K98" s="74"/>
      <c r="L98" s="74">
        <v>48</v>
      </c>
    </row>
    <row r="99" spans="1:12" x14ac:dyDescent="0.25">
      <c r="A99" s="73" t="s">
        <v>413</v>
      </c>
      <c r="B99" s="74">
        <v>11</v>
      </c>
      <c r="C99" s="74">
        <v>1</v>
      </c>
      <c r="D99" s="74">
        <v>6</v>
      </c>
      <c r="E99" s="74">
        <v>23</v>
      </c>
      <c r="F99" s="74">
        <v>1</v>
      </c>
      <c r="G99" s="74"/>
      <c r="H99" s="74">
        <v>4</v>
      </c>
      <c r="I99" s="74">
        <v>2</v>
      </c>
      <c r="J99" s="74"/>
      <c r="K99" s="74"/>
      <c r="L99" s="74">
        <v>48</v>
      </c>
    </row>
    <row r="100" spans="1:12" x14ac:dyDescent="0.25">
      <c r="A100" s="73" t="s">
        <v>343</v>
      </c>
      <c r="B100" s="74">
        <v>5</v>
      </c>
      <c r="C100" s="74"/>
      <c r="D100" s="74">
        <v>7</v>
      </c>
      <c r="E100" s="74">
        <v>5</v>
      </c>
      <c r="F100" s="74"/>
      <c r="G100" s="74"/>
      <c r="H100" s="74">
        <v>27</v>
      </c>
      <c r="I100" s="74">
        <v>4</v>
      </c>
      <c r="J100" s="74"/>
      <c r="K100" s="74"/>
      <c r="L100" s="74">
        <v>48</v>
      </c>
    </row>
    <row r="101" spans="1:12" x14ac:dyDescent="0.25">
      <c r="A101" s="73" t="s">
        <v>239</v>
      </c>
      <c r="B101" s="74">
        <v>4</v>
      </c>
      <c r="C101" s="74"/>
      <c r="D101" s="74">
        <v>8</v>
      </c>
      <c r="E101" s="74">
        <v>5</v>
      </c>
      <c r="F101" s="74"/>
      <c r="G101" s="74"/>
      <c r="H101" s="74">
        <v>28</v>
      </c>
      <c r="I101" s="74">
        <v>3</v>
      </c>
      <c r="J101" s="74"/>
      <c r="K101" s="74"/>
      <c r="L101" s="74">
        <v>48</v>
      </c>
    </row>
    <row r="102" spans="1:12" x14ac:dyDescent="0.25">
      <c r="A102" s="73" t="s">
        <v>306</v>
      </c>
      <c r="B102" s="74">
        <v>1</v>
      </c>
      <c r="C102" s="74">
        <v>4</v>
      </c>
      <c r="D102" s="74">
        <v>6</v>
      </c>
      <c r="E102" s="74">
        <v>2</v>
      </c>
      <c r="F102" s="74">
        <v>1</v>
      </c>
      <c r="G102" s="74"/>
      <c r="H102" s="74">
        <v>29</v>
      </c>
      <c r="I102" s="74">
        <v>2</v>
      </c>
      <c r="J102" s="74"/>
      <c r="K102" s="74"/>
      <c r="L102" s="74">
        <v>45</v>
      </c>
    </row>
    <row r="103" spans="1:12" x14ac:dyDescent="0.25">
      <c r="A103" s="73" t="s">
        <v>308</v>
      </c>
      <c r="B103" s="74">
        <v>8</v>
      </c>
      <c r="C103" s="74">
        <v>3</v>
      </c>
      <c r="D103" s="74">
        <v>5</v>
      </c>
      <c r="E103" s="74">
        <v>26</v>
      </c>
      <c r="F103" s="74">
        <v>2</v>
      </c>
      <c r="G103" s="74"/>
      <c r="H103" s="74">
        <v>2</v>
      </c>
      <c r="I103" s="74">
        <v>2</v>
      </c>
      <c r="J103" s="74"/>
      <c r="K103" s="74"/>
      <c r="L103" s="74">
        <v>48</v>
      </c>
    </row>
    <row r="104" spans="1:12" x14ac:dyDescent="0.25">
      <c r="A104" s="73" t="s">
        <v>414</v>
      </c>
      <c r="B104" s="74">
        <v>3</v>
      </c>
      <c r="C104" s="74">
        <v>1</v>
      </c>
      <c r="D104" s="74">
        <v>7</v>
      </c>
      <c r="E104" s="74">
        <v>2</v>
      </c>
      <c r="F104" s="74">
        <v>1</v>
      </c>
      <c r="G104" s="74"/>
      <c r="H104" s="74">
        <v>30</v>
      </c>
      <c r="I104" s="74">
        <v>4</v>
      </c>
      <c r="J104" s="74"/>
      <c r="K104" s="74"/>
      <c r="L104" s="74">
        <v>48</v>
      </c>
    </row>
    <row r="105" spans="1:12" x14ac:dyDescent="0.25">
      <c r="A105" s="73" t="s">
        <v>353</v>
      </c>
      <c r="B105" s="74">
        <v>5</v>
      </c>
      <c r="C105" s="74">
        <v>1</v>
      </c>
      <c r="D105" s="74">
        <v>7</v>
      </c>
      <c r="E105" s="74"/>
      <c r="F105" s="74"/>
      <c r="G105" s="74"/>
      <c r="H105" s="74">
        <v>29</v>
      </c>
      <c r="I105" s="74">
        <v>3</v>
      </c>
      <c r="J105" s="74"/>
      <c r="K105" s="74"/>
      <c r="L105" s="74">
        <v>45</v>
      </c>
    </row>
    <row r="106" spans="1:12" x14ac:dyDescent="0.25">
      <c r="A106" s="73" t="s">
        <v>456</v>
      </c>
      <c r="B106" s="74">
        <v>5</v>
      </c>
      <c r="C106" s="74"/>
      <c r="D106" s="74">
        <v>7</v>
      </c>
      <c r="E106" s="74">
        <v>1</v>
      </c>
      <c r="F106" s="74">
        <v>1</v>
      </c>
      <c r="G106" s="74"/>
      <c r="H106" s="74">
        <v>34</v>
      </c>
      <c r="I106" s="74">
        <v>4</v>
      </c>
      <c r="J106" s="74"/>
      <c r="K106" s="74"/>
      <c r="L106" s="74">
        <v>52</v>
      </c>
    </row>
    <row r="107" spans="1:12" x14ac:dyDescent="0.25">
      <c r="A107" s="73" t="s">
        <v>346</v>
      </c>
      <c r="B107" s="74">
        <v>1</v>
      </c>
      <c r="C107" s="74">
        <v>3</v>
      </c>
      <c r="D107" s="74">
        <v>4</v>
      </c>
      <c r="E107" s="74">
        <v>4</v>
      </c>
      <c r="F107" s="74">
        <v>1</v>
      </c>
      <c r="G107" s="74">
        <v>7</v>
      </c>
      <c r="H107" s="74">
        <v>23</v>
      </c>
      <c r="I107" s="74">
        <v>2</v>
      </c>
      <c r="J107" s="74"/>
      <c r="K107" s="74"/>
      <c r="L107" s="74">
        <v>45</v>
      </c>
    </row>
    <row r="108" spans="1:12" x14ac:dyDescent="0.25">
      <c r="A108" s="73" t="s">
        <v>311</v>
      </c>
      <c r="B108" s="74"/>
      <c r="C108" s="74"/>
      <c r="D108" s="74"/>
      <c r="E108" s="74"/>
      <c r="F108" s="74"/>
      <c r="G108" s="74">
        <v>47</v>
      </c>
      <c r="H108" s="74"/>
      <c r="I108" s="74"/>
      <c r="J108" s="74"/>
      <c r="K108" s="74"/>
      <c r="L108" s="74">
        <v>47</v>
      </c>
    </row>
    <row r="109" spans="1:12" x14ac:dyDescent="0.25">
      <c r="A109" s="73" t="s">
        <v>426</v>
      </c>
      <c r="B109" s="74">
        <v>2</v>
      </c>
      <c r="C109" s="74">
        <v>2</v>
      </c>
      <c r="D109" s="74">
        <v>6</v>
      </c>
      <c r="E109" s="74">
        <v>4</v>
      </c>
      <c r="F109" s="74"/>
      <c r="G109" s="74"/>
      <c r="H109" s="74">
        <v>31</v>
      </c>
      <c r="I109" s="74">
        <v>3</v>
      </c>
      <c r="J109" s="74"/>
      <c r="K109" s="74"/>
      <c r="L109" s="74">
        <v>48</v>
      </c>
    </row>
    <row r="110" spans="1:12" x14ac:dyDescent="0.25">
      <c r="A110" s="73" t="s">
        <v>427</v>
      </c>
      <c r="B110" s="74">
        <v>4</v>
      </c>
      <c r="C110" s="74">
        <v>1</v>
      </c>
      <c r="D110" s="74">
        <v>7</v>
      </c>
      <c r="E110" s="74"/>
      <c r="F110" s="74"/>
      <c r="G110" s="74"/>
      <c r="H110" s="74">
        <v>33</v>
      </c>
      <c r="I110" s="74">
        <v>3</v>
      </c>
      <c r="J110" s="74"/>
      <c r="K110" s="74"/>
      <c r="L110" s="74">
        <v>48</v>
      </c>
    </row>
    <row r="111" spans="1:12" x14ac:dyDescent="0.25">
      <c r="A111" s="73" t="s">
        <v>312</v>
      </c>
      <c r="B111" s="74">
        <v>2</v>
      </c>
      <c r="C111" s="74">
        <v>2</v>
      </c>
      <c r="D111" s="74">
        <v>6</v>
      </c>
      <c r="E111" s="74">
        <v>1</v>
      </c>
      <c r="F111" s="74"/>
      <c r="G111" s="74"/>
      <c r="H111" s="74">
        <v>34</v>
      </c>
      <c r="I111" s="74">
        <v>3</v>
      </c>
      <c r="J111" s="74"/>
      <c r="K111" s="74"/>
      <c r="L111" s="74">
        <v>48</v>
      </c>
    </row>
    <row r="112" spans="1:12" x14ac:dyDescent="0.25">
      <c r="A112" s="73" t="s">
        <v>313</v>
      </c>
      <c r="B112" s="74"/>
      <c r="C112" s="74"/>
      <c r="D112" s="74"/>
      <c r="E112" s="74"/>
      <c r="F112" s="74"/>
      <c r="G112" s="74">
        <v>44</v>
      </c>
      <c r="H112" s="74"/>
      <c r="I112" s="74"/>
      <c r="J112" s="74"/>
      <c r="K112" s="74"/>
      <c r="L112" s="74">
        <v>44</v>
      </c>
    </row>
    <row r="113" spans="1:12" x14ac:dyDescent="0.25">
      <c r="A113" s="73" t="s">
        <v>314</v>
      </c>
      <c r="B113" s="74">
        <v>4</v>
      </c>
      <c r="C113" s="74"/>
      <c r="D113" s="74">
        <v>7</v>
      </c>
      <c r="E113" s="74">
        <v>5</v>
      </c>
      <c r="F113" s="74"/>
      <c r="G113" s="74"/>
      <c r="H113" s="74">
        <v>22</v>
      </c>
      <c r="I113" s="74">
        <v>2</v>
      </c>
      <c r="J113" s="74"/>
      <c r="K113" s="74">
        <v>1</v>
      </c>
      <c r="L113" s="74">
        <v>41</v>
      </c>
    </row>
    <row r="114" spans="1:12" x14ac:dyDescent="0.25">
      <c r="A114" s="73" t="s">
        <v>243</v>
      </c>
      <c r="B114" s="74">
        <v>2</v>
      </c>
      <c r="C114" s="74">
        <v>1</v>
      </c>
      <c r="D114" s="74">
        <v>6</v>
      </c>
      <c r="E114" s="74">
        <v>2</v>
      </c>
      <c r="F114" s="74">
        <v>1</v>
      </c>
      <c r="G114" s="74"/>
      <c r="H114" s="74">
        <v>33</v>
      </c>
      <c r="I114" s="74">
        <v>3</v>
      </c>
      <c r="J114" s="74"/>
      <c r="K114" s="74"/>
      <c r="L114" s="74">
        <v>48</v>
      </c>
    </row>
    <row r="115" spans="1:12" x14ac:dyDescent="0.25">
      <c r="A115" s="73" t="s">
        <v>315</v>
      </c>
      <c r="B115" s="74">
        <v>4</v>
      </c>
      <c r="C115" s="74"/>
      <c r="D115" s="74">
        <v>6</v>
      </c>
      <c r="E115" s="74">
        <v>1</v>
      </c>
      <c r="F115" s="74">
        <v>1</v>
      </c>
      <c r="G115" s="74"/>
      <c r="H115" s="74">
        <v>26</v>
      </c>
      <c r="I115" s="74">
        <v>3</v>
      </c>
      <c r="J115" s="74"/>
      <c r="K115" s="74"/>
      <c r="L115" s="74">
        <v>41</v>
      </c>
    </row>
    <row r="116" spans="1:12" x14ac:dyDescent="0.25">
      <c r="A116" s="73" t="s">
        <v>316</v>
      </c>
      <c r="B116" s="74">
        <v>2</v>
      </c>
      <c r="C116" s="74"/>
      <c r="D116" s="74">
        <v>4</v>
      </c>
      <c r="E116" s="74">
        <v>1</v>
      </c>
      <c r="F116" s="74"/>
      <c r="G116" s="74"/>
      <c r="H116" s="74">
        <v>39</v>
      </c>
      <c r="I116" s="74">
        <v>2</v>
      </c>
      <c r="J116" s="74"/>
      <c r="K116" s="74"/>
      <c r="L116" s="74">
        <v>48</v>
      </c>
    </row>
    <row r="117" spans="1:12" x14ac:dyDescent="0.25">
      <c r="A117" s="73" t="s">
        <v>317</v>
      </c>
      <c r="B117" s="74">
        <v>2</v>
      </c>
      <c r="C117" s="74">
        <v>2</v>
      </c>
      <c r="D117" s="74">
        <v>6</v>
      </c>
      <c r="E117" s="74">
        <v>3</v>
      </c>
      <c r="F117" s="74"/>
      <c r="G117" s="74"/>
      <c r="H117" s="74">
        <v>30</v>
      </c>
      <c r="I117" s="74">
        <v>2</v>
      </c>
      <c r="J117" s="74"/>
      <c r="K117" s="74"/>
      <c r="L117" s="74">
        <v>45</v>
      </c>
    </row>
    <row r="118" spans="1:12" x14ac:dyDescent="0.25">
      <c r="A118" s="73" t="s">
        <v>318</v>
      </c>
      <c r="B118" s="74"/>
      <c r="C118" s="74"/>
      <c r="D118" s="74">
        <v>5</v>
      </c>
      <c r="E118" s="74">
        <v>2</v>
      </c>
      <c r="F118" s="74"/>
      <c r="G118" s="74"/>
      <c r="H118" s="74">
        <v>39</v>
      </c>
      <c r="I118" s="74">
        <v>2</v>
      </c>
      <c r="J118" s="74"/>
      <c r="K118" s="74"/>
      <c r="L118" s="74">
        <v>48</v>
      </c>
    </row>
    <row r="119" spans="1:12" x14ac:dyDescent="0.25">
      <c r="A119" s="73" t="s">
        <v>320</v>
      </c>
      <c r="B119" s="74">
        <v>11</v>
      </c>
      <c r="C119" s="74">
        <v>1</v>
      </c>
      <c r="D119" s="74">
        <v>6</v>
      </c>
      <c r="E119" s="74">
        <v>25</v>
      </c>
      <c r="F119" s="74">
        <v>1</v>
      </c>
      <c r="G119" s="74"/>
      <c r="H119" s="74">
        <v>2</v>
      </c>
      <c r="I119" s="74">
        <v>2</v>
      </c>
      <c r="J119" s="74"/>
      <c r="K119" s="74"/>
      <c r="L119" s="74">
        <v>48</v>
      </c>
    </row>
    <row r="120" spans="1:12" x14ac:dyDescent="0.25">
      <c r="A120" s="73" t="s">
        <v>321</v>
      </c>
      <c r="B120" s="74">
        <v>2</v>
      </c>
      <c r="C120" s="74"/>
      <c r="D120" s="74">
        <v>5</v>
      </c>
      <c r="E120" s="74">
        <v>1</v>
      </c>
      <c r="F120" s="74"/>
      <c r="G120" s="74"/>
      <c r="H120" s="74">
        <v>38</v>
      </c>
      <c r="I120" s="74">
        <v>2</v>
      </c>
      <c r="J120" s="74"/>
      <c r="K120" s="74"/>
      <c r="L120" s="74">
        <v>48</v>
      </c>
    </row>
    <row r="121" spans="1:12" x14ac:dyDescent="0.25">
      <c r="A121" s="73" t="s">
        <v>322</v>
      </c>
      <c r="B121" s="74">
        <v>6</v>
      </c>
      <c r="C121" s="74">
        <v>5</v>
      </c>
      <c r="D121" s="74">
        <v>5</v>
      </c>
      <c r="E121" s="74">
        <v>15</v>
      </c>
      <c r="F121" s="74">
        <v>1</v>
      </c>
      <c r="G121" s="74"/>
      <c r="H121" s="74">
        <v>4</v>
      </c>
      <c r="I121" s="74">
        <v>2</v>
      </c>
      <c r="J121" s="74"/>
      <c r="K121" s="74"/>
      <c r="L121" s="74">
        <v>38</v>
      </c>
    </row>
    <row r="122" spans="1:12" x14ac:dyDescent="0.25">
      <c r="A122" s="73" t="s">
        <v>269</v>
      </c>
      <c r="B122" s="74">
        <v>4</v>
      </c>
      <c r="C122" s="74"/>
      <c r="D122" s="74">
        <v>7</v>
      </c>
      <c r="E122" s="74">
        <v>4</v>
      </c>
      <c r="F122" s="74"/>
      <c r="G122" s="74"/>
      <c r="H122" s="74">
        <v>29</v>
      </c>
      <c r="I122" s="74">
        <v>4</v>
      </c>
      <c r="J122" s="74"/>
      <c r="K122" s="74"/>
      <c r="L122" s="74">
        <v>48</v>
      </c>
    </row>
    <row r="123" spans="1:12" x14ac:dyDescent="0.25">
      <c r="A123" s="73" t="s">
        <v>416</v>
      </c>
      <c r="B123" s="74">
        <v>8</v>
      </c>
      <c r="C123" s="74">
        <v>2</v>
      </c>
      <c r="D123" s="74">
        <v>5</v>
      </c>
      <c r="E123" s="74">
        <v>24</v>
      </c>
      <c r="F123" s="74">
        <v>2</v>
      </c>
      <c r="G123" s="74"/>
      <c r="H123" s="74">
        <v>5</v>
      </c>
      <c r="I123" s="74">
        <v>2</v>
      </c>
      <c r="J123" s="74"/>
      <c r="K123" s="74"/>
      <c r="L123" s="74">
        <v>48</v>
      </c>
    </row>
    <row r="124" spans="1:12" x14ac:dyDescent="0.25">
      <c r="A124" s="73" t="s">
        <v>444</v>
      </c>
      <c r="B124" s="74">
        <v>3</v>
      </c>
      <c r="C124" s="74"/>
      <c r="D124" s="74">
        <v>5</v>
      </c>
      <c r="E124" s="74">
        <v>1</v>
      </c>
      <c r="F124" s="74"/>
      <c r="G124" s="74"/>
      <c r="H124" s="74">
        <v>36</v>
      </c>
      <c r="I124" s="74">
        <v>3</v>
      </c>
      <c r="J124" s="74"/>
      <c r="K124" s="74"/>
      <c r="L124" s="74">
        <v>48</v>
      </c>
    </row>
    <row r="125" spans="1:12" x14ac:dyDescent="0.25">
      <c r="A125" s="73" t="s">
        <v>271</v>
      </c>
      <c r="B125" s="74">
        <v>1</v>
      </c>
      <c r="C125" s="74">
        <v>4</v>
      </c>
      <c r="D125" s="74">
        <v>6</v>
      </c>
      <c r="E125" s="74">
        <v>1</v>
      </c>
      <c r="F125" s="74"/>
      <c r="G125" s="74"/>
      <c r="H125" s="74">
        <v>33</v>
      </c>
      <c r="I125" s="74">
        <v>3</v>
      </c>
      <c r="J125" s="74"/>
      <c r="K125" s="74"/>
      <c r="L125" s="74">
        <v>48</v>
      </c>
    </row>
    <row r="126" spans="1:12" x14ac:dyDescent="0.25">
      <c r="A126" s="73" t="s">
        <v>323</v>
      </c>
      <c r="B126" s="74">
        <v>8</v>
      </c>
      <c r="C126" s="74">
        <v>3</v>
      </c>
      <c r="D126" s="74">
        <v>4</v>
      </c>
      <c r="E126" s="74">
        <v>24</v>
      </c>
      <c r="F126" s="74">
        <v>1</v>
      </c>
      <c r="G126" s="74"/>
      <c r="H126" s="74">
        <v>6</v>
      </c>
      <c r="I126" s="74">
        <v>2</v>
      </c>
      <c r="J126" s="74"/>
      <c r="K126" s="74"/>
      <c r="L126" s="74">
        <v>48</v>
      </c>
    </row>
    <row r="127" spans="1:12" x14ac:dyDescent="0.25">
      <c r="A127" s="73" t="s">
        <v>325</v>
      </c>
      <c r="B127" s="74">
        <v>8</v>
      </c>
      <c r="C127" s="74">
        <v>3</v>
      </c>
      <c r="D127" s="74">
        <v>4</v>
      </c>
      <c r="E127" s="74">
        <v>23</v>
      </c>
      <c r="F127" s="74">
        <v>1</v>
      </c>
      <c r="G127" s="74"/>
      <c r="H127" s="74">
        <v>7</v>
      </c>
      <c r="I127" s="74">
        <v>2</v>
      </c>
      <c r="J127" s="74"/>
      <c r="K127" s="74"/>
      <c r="L127" s="74">
        <v>48</v>
      </c>
    </row>
    <row r="128" spans="1:12" x14ac:dyDescent="0.25">
      <c r="A128" s="73" t="s">
        <v>246</v>
      </c>
      <c r="B128" s="74">
        <v>3</v>
      </c>
      <c r="C128" s="74"/>
      <c r="D128" s="74">
        <v>5</v>
      </c>
      <c r="E128" s="74">
        <v>3</v>
      </c>
      <c r="F128" s="74"/>
      <c r="G128" s="74"/>
      <c r="H128" s="74">
        <v>35</v>
      </c>
      <c r="I128" s="74">
        <v>2</v>
      </c>
      <c r="J128" s="74"/>
      <c r="K128" s="74"/>
      <c r="L128" s="74">
        <v>48</v>
      </c>
    </row>
    <row r="129" spans="1:12" x14ac:dyDescent="0.25">
      <c r="A129" s="73" t="s">
        <v>247</v>
      </c>
      <c r="B129" s="74">
        <v>5</v>
      </c>
      <c r="C129" s="74">
        <v>1</v>
      </c>
      <c r="D129" s="74">
        <v>7</v>
      </c>
      <c r="E129" s="74"/>
      <c r="F129" s="74"/>
      <c r="G129" s="74"/>
      <c r="H129" s="74">
        <v>31</v>
      </c>
      <c r="I129" s="74">
        <v>4</v>
      </c>
      <c r="J129" s="74"/>
      <c r="K129" s="74"/>
      <c r="L129" s="74">
        <v>48</v>
      </c>
    </row>
    <row r="130" spans="1:12" x14ac:dyDescent="0.25">
      <c r="A130" s="73" t="s">
        <v>446</v>
      </c>
      <c r="B130" s="74">
        <v>4</v>
      </c>
      <c r="C130" s="74">
        <v>1</v>
      </c>
      <c r="D130" s="74">
        <v>7</v>
      </c>
      <c r="E130" s="74">
        <v>4</v>
      </c>
      <c r="F130" s="74"/>
      <c r="G130" s="74"/>
      <c r="H130" s="74">
        <v>28</v>
      </c>
      <c r="I130" s="74">
        <v>4</v>
      </c>
      <c r="J130" s="74"/>
      <c r="K130" s="74"/>
      <c r="L130" s="74">
        <v>48</v>
      </c>
    </row>
    <row r="131" spans="1:12" x14ac:dyDescent="0.25">
      <c r="A131" s="73" t="s">
        <v>248</v>
      </c>
      <c r="B131" s="74">
        <v>2</v>
      </c>
      <c r="C131" s="74">
        <v>1</v>
      </c>
      <c r="D131" s="74">
        <v>6</v>
      </c>
      <c r="E131" s="74">
        <v>3</v>
      </c>
      <c r="F131" s="74"/>
      <c r="G131" s="74"/>
      <c r="H131" s="74">
        <v>33</v>
      </c>
      <c r="I131" s="74">
        <v>3</v>
      </c>
      <c r="J131" s="74"/>
      <c r="K131" s="74"/>
      <c r="L131" s="74">
        <v>48</v>
      </c>
    </row>
    <row r="132" spans="1:12" x14ac:dyDescent="0.25">
      <c r="A132" s="73" t="s">
        <v>410</v>
      </c>
      <c r="B132" s="74">
        <v>1</v>
      </c>
      <c r="C132" s="74">
        <v>2</v>
      </c>
      <c r="D132" s="74">
        <v>6</v>
      </c>
      <c r="E132" s="74">
        <v>5</v>
      </c>
      <c r="F132" s="74"/>
      <c r="G132" s="74"/>
      <c r="H132" s="74">
        <v>31</v>
      </c>
      <c r="I132" s="74">
        <v>3</v>
      </c>
      <c r="J132" s="74"/>
      <c r="K132" s="74"/>
      <c r="L132" s="74">
        <v>48</v>
      </c>
    </row>
    <row r="133" spans="1:12" x14ac:dyDescent="0.25">
      <c r="A133" s="73" t="s">
        <v>422</v>
      </c>
      <c r="B133" s="74">
        <v>5</v>
      </c>
      <c r="C133" s="74"/>
      <c r="D133" s="74">
        <v>8</v>
      </c>
      <c r="E133" s="74">
        <v>3</v>
      </c>
      <c r="F133" s="74"/>
      <c r="G133" s="74"/>
      <c r="H133" s="74">
        <v>28</v>
      </c>
      <c r="I133" s="74">
        <v>4</v>
      </c>
      <c r="J133" s="74"/>
      <c r="K133" s="74"/>
      <c r="L133" s="74">
        <v>48</v>
      </c>
    </row>
    <row r="134" spans="1:12" x14ac:dyDescent="0.25">
      <c r="A134" s="73" t="s">
        <v>447</v>
      </c>
      <c r="B134" s="74">
        <v>4</v>
      </c>
      <c r="C134" s="74"/>
      <c r="D134" s="74">
        <v>7</v>
      </c>
      <c r="E134" s="74">
        <v>3</v>
      </c>
      <c r="F134" s="74"/>
      <c r="G134" s="74"/>
      <c r="H134" s="74">
        <v>31</v>
      </c>
      <c r="I134" s="74">
        <v>3</v>
      </c>
      <c r="J134" s="74"/>
      <c r="K134" s="74"/>
      <c r="L134" s="74">
        <v>48</v>
      </c>
    </row>
    <row r="135" spans="1:12" x14ac:dyDescent="0.25">
      <c r="A135" s="73" t="s">
        <v>249</v>
      </c>
      <c r="B135" s="74">
        <v>8</v>
      </c>
      <c r="C135" s="74">
        <v>3</v>
      </c>
      <c r="D135" s="74">
        <v>5</v>
      </c>
      <c r="E135" s="74">
        <v>26</v>
      </c>
      <c r="F135" s="74">
        <v>1</v>
      </c>
      <c r="G135" s="74"/>
      <c r="H135" s="74">
        <v>3</v>
      </c>
      <c r="I135" s="74">
        <v>2</v>
      </c>
      <c r="J135" s="74"/>
      <c r="K135" s="74"/>
      <c r="L135" s="74">
        <v>48</v>
      </c>
    </row>
    <row r="136" spans="1:12" x14ac:dyDescent="0.25">
      <c r="A136" s="73" t="s">
        <v>250</v>
      </c>
      <c r="B136" s="74">
        <v>7</v>
      </c>
      <c r="C136" s="74">
        <v>3</v>
      </c>
      <c r="D136" s="74">
        <v>4</v>
      </c>
      <c r="E136" s="74">
        <v>25</v>
      </c>
      <c r="F136" s="74">
        <v>1</v>
      </c>
      <c r="G136" s="74"/>
      <c r="H136" s="74">
        <v>4</v>
      </c>
      <c r="I136" s="74">
        <v>1</v>
      </c>
      <c r="J136" s="74"/>
      <c r="K136" s="74"/>
      <c r="L136" s="74">
        <v>45</v>
      </c>
    </row>
    <row r="137" spans="1:12" x14ac:dyDescent="0.25">
      <c r="A137" s="73" t="s">
        <v>448</v>
      </c>
      <c r="B137" s="74">
        <v>2</v>
      </c>
      <c r="C137" s="74">
        <v>2</v>
      </c>
      <c r="D137" s="74">
        <v>6</v>
      </c>
      <c r="E137" s="74">
        <v>5</v>
      </c>
      <c r="F137" s="74"/>
      <c r="G137" s="74"/>
      <c r="H137" s="74">
        <v>28</v>
      </c>
      <c r="I137" s="74">
        <v>2</v>
      </c>
      <c r="J137" s="74"/>
      <c r="K137" s="74"/>
      <c r="L137" s="74">
        <v>45</v>
      </c>
    </row>
    <row r="138" spans="1:12" x14ac:dyDescent="0.25">
      <c r="A138" s="73" t="s">
        <v>251</v>
      </c>
      <c r="B138" s="74">
        <v>2</v>
      </c>
      <c r="C138" s="74">
        <v>2</v>
      </c>
      <c r="D138" s="74">
        <v>6</v>
      </c>
      <c r="E138" s="74">
        <v>3</v>
      </c>
      <c r="F138" s="74">
        <v>1</v>
      </c>
      <c r="G138" s="74"/>
      <c r="H138" s="74">
        <v>31</v>
      </c>
      <c r="I138" s="74">
        <v>3</v>
      </c>
      <c r="J138" s="74"/>
      <c r="K138" s="74"/>
      <c r="L138" s="74">
        <v>48</v>
      </c>
    </row>
    <row r="139" spans="1:12" x14ac:dyDescent="0.25">
      <c r="A139" s="73" t="s">
        <v>326</v>
      </c>
      <c r="B139" s="74">
        <v>1</v>
      </c>
      <c r="C139" s="74">
        <v>3</v>
      </c>
      <c r="D139" s="74">
        <v>6</v>
      </c>
      <c r="E139" s="74">
        <v>5</v>
      </c>
      <c r="F139" s="74">
        <v>1</v>
      </c>
      <c r="G139" s="74"/>
      <c r="H139" s="74">
        <v>23</v>
      </c>
      <c r="I139" s="74">
        <v>2</v>
      </c>
      <c r="J139" s="74"/>
      <c r="K139" s="74"/>
      <c r="L139" s="74">
        <v>41</v>
      </c>
    </row>
    <row r="140" spans="1:12" x14ac:dyDescent="0.25">
      <c r="A140" s="73" t="s">
        <v>252</v>
      </c>
      <c r="B140" s="74">
        <v>1</v>
      </c>
      <c r="C140" s="74">
        <v>1</v>
      </c>
      <c r="D140" s="74">
        <v>6</v>
      </c>
      <c r="E140" s="74">
        <v>2</v>
      </c>
      <c r="F140" s="74"/>
      <c r="G140" s="74"/>
      <c r="H140" s="74">
        <v>35</v>
      </c>
      <c r="I140" s="74">
        <v>3</v>
      </c>
      <c r="J140" s="74"/>
      <c r="K140" s="74"/>
      <c r="L140" s="74">
        <v>48</v>
      </c>
    </row>
    <row r="141" spans="1:12" x14ac:dyDescent="0.25">
      <c r="A141" s="73" t="s">
        <v>449</v>
      </c>
      <c r="B141" s="74">
        <v>9</v>
      </c>
      <c r="C141" s="74">
        <v>1</v>
      </c>
      <c r="D141" s="74">
        <v>6</v>
      </c>
      <c r="E141" s="74">
        <v>17</v>
      </c>
      <c r="F141" s="74">
        <v>1</v>
      </c>
      <c r="G141" s="74"/>
      <c r="H141" s="74">
        <v>4</v>
      </c>
      <c r="I141" s="74">
        <v>3</v>
      </c>
      <c r="J141" s="74"/>
      <c r="K141" s="74"/>
      <c r="L141" s="74">
        <v>41</v>
      </c>
    </row>
    <row r="142" spans="1:12" x14ac:dyDescent="0.25">
      <c r="A142" s="73" t="s">
        <v>327</v>
      </c>
      <c r="B142" s="74">
        <v>7</v>
      </c>
      <c r="C142" s="74">
        <v>3</v>
      </c>
      <c r="D142" s="74">
        <v>4</v>
      </c>
      <c r="E142" s="74">
        <v>26</v>
      </c>
      <c r="F142" s="74">
        <v>1</v>
      </c>
      <c r="G142" s="74"/>
      <c r="H142" s="74">
        <v>1</v>
      </c>
      <c r="I142" s="74">
        <v>2</v>
      </c>
      <c r="J142" s="74"/>
      <c r="K142" s="74"/>
      <c r="L142" s="74">
        <v>44</v>
      </c>
    </row>
    <row r="143" spans="1:12" x14ac:dyDescent="0.25">
      <c r="A143" s="73" t="s">
        <v>458</v>
      </c>
      <c r="B143" s="74">
        <v>4</v>
      </c>
      <c r="C143" s="74"/>
      <c r="D143" s="74">
        <v>8</v>
      </c>
      <c r="E143" s="74">
        <v>2</v>
      </c>
      <c r="F143" s="74"/>
      <c r="G143" s="74"/>
      <c r="H143" s="74">
        <v>34</v>
      </c>
      <c r="I143" s="74">
        <v>4</v>
      </c>
      <c r="J143" s="74"/>
      <c r="K143" s="74"/>
      <c r="L143" s="74">
        <v>52</v>
      </c>
    </row>
    <row r="144" spans="1:12" x14ac:dyDescent="0.25">
      <c r="A144" s="73" t="s">
        <v>455</v>
      </c>
      <c r="B144" s="74">
        <v>1</v>
      </c>
      <c r="C144" s="74">
        <v>3</v>
      </c>
      <c r="D144" s="74">
        <v>6</v>
      </c>
      <c r="E144" s="74">
        <v>3</v>
      </c>
      <c r="F144" s="74"/>
      <c r="G144" s="74"/>
      <c r="H144" s="74">
        <v>28</v>
      </c>
      <c r="I144" s="74">
        <v>3</v>
      </c>
      <c r="J144" s="74"/>
      <c r="K144" s="74"/>
      <c r="L144" s="74">
        <v>44</v>
      </c>
    </row>
    <row r="145" spans="1:12" x14ac:dyDescent="0.25">
      <c r="A145" s="73" t="s">
        <v>328</v>
      </c>
      <c r="B145" s="74">
        <v>9</v>
      </c>
      <c r="C145" s="74">
        <v>1</v>
      </c>
      <c r="D145" s="74">
        <v>6</v>
      </c>
      <c r="E145" s="74">
        <v>18</v>
      </c>
      <c r="F145" s="74">
        <v>1</v>
      </c>
      <c r="G145" s="74"/>
      <c r="H145" s="74">
        <v>4</v>
      </c>
      <c r="I145" s="74">
        <v>2</v>
      </c>
      <c r="J145" s="74"/>
      <c r="K145" s="74"/>
      <c r="L145" s="74">
        <v>41</v>
      </c>
    </row>
    <row r="146" spans="1:12" x14ac:dyDescent="0.25">
      <c r="A146" s="73" t="s">
        <v>253</v>
      </c>
      <c r="B146" s="74">
        <v>2</v>
      </c>
      <c r="C146" s="74"/>
      <c r="D146" s="74">
        <v>5</v>
      </c>
      <c r="E146" s="74">
        <v>1</v>
      </c>
      <c r="F146" s="74"/>
      <c r="G146" s="74"/>
      <c r="H146" s="74">
        <v>38</v>
      </c>
      <c r="I146" s="74">
        <v>2</v>
      </c>
      <c r="J146" s="74"/>
      <c r="K146" s="74"/>
      <c r="L146" s="74">
        <v>48</v>
      </c>
    </row>
    <row r="147" spans="1:12" x14ac:dyDescent="0.25">
      <c r="A147" s="73" t="s">
        <v>459</v>
      </c>
      <c r="B147" s="74">
        <v>2</v>
      </c>
      <c r="C147" s="74">
        <v>3</v>
      </c>
      <c r="D147" s="74">
        <v>5</v>
      </c>
      <c r="E147" s="74">
        <v>1</v>
      </c>
      <c r="F147" s="74">
        <v>1</v>
      </c>
      <c r="G147" s="74"/>
      <c r="H147" s="74">
        <v>24</v>
      </c>
      <c r="I147" s="74">
        <v>2</v>
      </c>
      <c r="J147" s="74"/>
      <c r="K147" s="74"/>
      <c r="L147" s="74">
        <v>38</v>
      </c>
    </row>
    <row r="148" spans="1:12" x14ac:dyDescent="0.25">
      <c r="A148" s="73" t="s">
        <v>329</v>
      </c>
      <c r="B148" s="74">
        <v>6</v>
      </c>
      <c r="C148" s="74"/>
      <c r="D148" s="74">
        <v>4</v>
      </c>
      <c r="E148" s="74">
        <v>20</v>
      </c>
      <c r="F148" s="74"/>
      <c r="G148" s="74"/>
      <c r="H148" s="74">
        <v>10</v>
      </c>
      <c r="I148" s="74">
        <v>1</v>
      </c>
      <c r="J148" s="74"/>
      <c r="K148" s="74"/>
      <c r="L148" s="74">
        <v>41</v>
      </c>
    </row>
    <row r="149" spans="1:12" x14ac:dyDescent="0.25">
      <c r="A149" s="73" t="s">
        <v>330</v>
      </c>
      <c r="B149" s="74">
        <v>8</v>
      </c>
      <c r="C149" s="74">
        <v>3</v>
      </c>
      <c r="D149" s="74">
        <v>5</v>
      </c>
      <c r="E149" s="74">
        <v>25</v>
      </c>
      <c r="F149" s="74">
        <v>1</v>
      </c>
      <c r="G149" s="74"/>
      <c r="H149" s="74">
        <v>4</v>
      </c>
      <c r="I149" s="74">
        <v>2</v>
      </c>
      <c r="J149" s="74"/>
      <c r="K149" s="74"/>
      <c r="L149" s="74">
        <v>48</v>
      </c>
    </row>
    <row r="150" spans="1:12" x14ac:dyDescent="0.25">
      <c r="A150" s="73" t="s">
        <v>450</v>
      </c>
      <c r="B150" s="74">
        <v>2</v>
      </c>
      <c r="C150" s="74"/>
      <c r="D150" s="74">
        <v>4</v>
      </c>
      <c r="E150" s="74">
        <v>5</v>
      </c>
      <c r="F150" s="74"/>
      <c r="G150" s="74"/>
      <c r="H150" s="74">
        <v>35</v>
      </c>
      <c r="I150" s="74">
        <v>2</v>
      </c>
      <c r="J150" s="74"/>
      <c r="K150" s="74"/>
      <c r="L150" s="74">
        <v>48</v>
      </c>
    </row>
    <row r="151" spans="1:12" x14ac:dyDescent="0.25">
      <c r="A151" s="73" t="s">
        <v>331</v>
      </c>
      <c r="B151" s="74">
        <v>7</v>
      </c>
      <c r="C151" s="74">
        <v>4</v>
      </c>
      <c r="D151" s="74">
        <v>5</v>
      </c>
      <c r="E151" s="74">
        <v>23</v>
      </c>
      <c r="F151" s="74">
        <v>1</v>
      </c>
      <c r="G151" s="74"/>
      <c r="H151" s="74">
        <v>2</v>
      </c>
      <c r="I151" s="74">
        <v>2</v>
      </c>
      <c r="J151" s="74"/>
      <c r="K151" s="74"/>
      <c r="L151" s="74">
        <v>44</v>
      </c>
    </row>
    <row r="152" spans="1:12" x14ac:dyDescent="0.25">
      <c r="A152" s="73" t="s">
        <v>402</v>
      </c>
      <c r="B152" s="74">
        <v>9</v>
      </c>
      <c r="C152" s="74">
        <v>1</v>
      </c>
      <c r="D152" s="74">
        <v>5</v>
      </c>
      <c r="E152" s="74">
        <v>20</v>
      </c>
      <c r="F152" s="74">
        <v>7</v>
      </c>
      <c r="G152" s="74"/>
      <c r="H152" s="74">
        <v>4</v>
      </c>
      <c r="I152" s="74">
        <v>2</v>
      </c>
      <c r="J152" s="74"/>
      <c r="K152" s="74"/>
      <c r="L152" s="74">
        <v>48</v>
      </c>
    </row>
    <row r="153" spans="1:12" x14ac:dyDescent="0.25">
      <c r="A153" s="73" t="s">
        <v>332</v>
      </c>
      <c r="B153" s="74">
        <v>12</v>
      </c>
      <c r="C153" s="74">
        <v>1</v>
      </c>
      <c r="D153" s="74">
        <v>5</v>
      </c>
      <c r="E153" s="74">
        <v>25</v>
      </c>
      <c r="F153" s="74">
        <v>1</v>
      </c>
      <c r="G153" s="74"/>
      <c r="H153" s="74">
        <v>2</v>
      </c>
      <c r="I153" s="74">
        <v>2</v>
      </c>
      <c r="J153" s="74"/>
      <c r="K153" s="74"/>
      <c r="L153" s="74">
        <v>48</v>
      </c>
    </row>
    <row r="154" spans="1:12" x14ac:dyDescent="0.25">
      <c r="A154" s="73" t="s">
        <v>333</v>
      </c>
      <c r="B154" s="74">
        <v>4</v>
      </c>
      <c r="C154" s="74"/>
      <c r="D154" s="74">
        <v>7</v>
      </c>
      <c r="E154" s="74">
        <v>1</v>
      </c>
      <c r="F154" s="74">
        <v>1</v>
      </c>
      <c r="G154" s="74"/>
      <c r="H154" s="74">
        <v>26</v>
      </c>
      <c r="I154" s="74">
        <v>2</v>
      </c>
      <c r="J154" s="74"/>
      <c r="K154" s="74"/>
      <c r="L154" s="74">
        <v>41</v>
      </c>
    </row>
    <row r="155" spans="1:12" x14ac:dyDescent="0.25">
      <c r="A155" s="73" t="s">
        <v>254</v>
      </c>
      <c r="B155" s="74">
        <v>9</v>
      </c>
      <c r="C155" s="74">
        <v>1</v>
      </c>
      <c r="D155" s="74">
        <v>5</v>
      </c>
      <c r="E155" s="74">
        <v>21</v>
      </c>
      <c r="F155" s="74">
        <v>1</v>
      </c>
      <c r="G155" s="74"/>
      <c r="H155" s="74">
        <v>2</v>
      </c>
      <c r="I155" s="74">
        <v>2</v>
      </c>
      <c r="J155" s="74"/>
      <c r="K155" s="74"/>
      <c r="L155" s="74">
        <v>41</v>
      </c>
    </row>
    <row r="156" spans="1:12" x14ac:dyDescent="0.25">
      <c r="A156" s="73" t="s">
        <v>334</v>
      </c>
      <c r="B156" s="74">
        <v>7</v>
      </c>
      <c r="C156" s="74">
        <v>2</v>
      </c>
      <c r="D156" s="74">
        <v>4</v>
      </c>
      <c r="E156" s="74">
        <v>27</v>
      </c>
      <c r="F156" s="74">
        <v>1</v>
      </c>
      <c r="G156" s="74"/>
      <c r="H156" s="74">
        <v>2</v>
      </c>
      <c r="I156" s="74">
        <v>1</v>
      </c>
      <c r="J156" s="74"/>
      <c r="K156" s="74"/>
      <c r="L156" s="74">
        <v>44</v>
      </c>
    </row>
    <row r="157" spans="1:12" x14ac:dyDescent="0.25">
      <c r="A157" s="73" t="s">
        <v>257</v>
      </c>
      <c r="B157" s="74">
        <v>4</v>
      </c>
      <c r="C157" s="74">
        <v>1</v>
      </c>
      <c r="D157" s="74">
        <v>8</v>
      </c>
      <c r="E157" s="74">
        <v>3</v>
      </c>
      <c r="F157" s="74"/>
      <c r="G157" s="74"/>
      <c r="H157" s="74">
        <v>28</v>
      </c>
      <c r="I157" s="74">
        <v>4</v>
      </c>
      <c r="J157" s="74"/>
      <c r="K157" s="74"/>
      <c r="L157" s="74">
        <v>48</v>
      </c>
    </row>
    <row r="158" spans="1:12" x14ac:dyDescent="0.25">
      <c r="A158" s="73" t="s">
        <v>335</v>
      </c>
      <c r="B158" s="74">
        <v>11</v>
      </c>
      <c r="C158" s="74">
        <v>2</v>
      </c>
      <c r="D158" s="74">
        <v>6</v>
      </c>
      <c r="E158" s="74">
        <v>24</v>
      </c>
      <c r="F158" s="74">
        <v>1</v>
      </c>
      <c r="G158" s="74"/>
      <c r="H158" s="74">
        <v>1</v>
      </c>
      <c r="I158" s="74">
        <v>3</v>
      </c>
      <c r="J158" s="74"/>
      <c r="K158" s="74"/>
      <c r="L158" s="74">
        <v>48</v>
      </c>
    </row>
    <row r="159" spans="1:12" x14ac:dyDescent="0.25">
      <c r="A159" s="73" t="s">
        <v>336</v>
      </c>
      <c r="B159" s="74">
        <v>7</v>
      </c>
      <c r="C159" s="74">
        <v>3</v>
      </c>
      <c r="D159" s="74">
        <v>4</v>
      </c>
      <c r="E159" s="74">
        <v>23</v>
      </c>
      <c r="F159" s="74">
        <v>1</v>
      </c>
      <c r="G159" s="74"/>
      <c r="H159" s="74">
        <v>5</v>
      </c>
      <c r="I159" s="74">
        <v>1</v>
      </c>
      <c r="J159" s="74"/>
      <c r="K159" s="74"/>
      <c r="L159" s="74">
        <v>44</v>
      </c>
    </row>
    <row r="160" spans="1:12" x14ac:dyDescent="0.25">
      <c r="A160" s="73" t="s">
        <v>337</v>
      </c>
      <c r="B160" s="74">
        <v>1</v>
      </c>
      <c r="C160" s="74"/>
      <c r="D160" s="74">
        <v>5</v>
      </c>
      <c r="E160" s="74">
        <v>1</v>
      </c>
      <c r="F160" s="74"/>
      <c r="G160" s="74"/>
      <c r="H160" s="74">
        <v>39</v>
      </c>
      <c r="I160" s="74">
        <v>2</v>
      </c>
      <c r="J160" s="74"/>
      <c r="K160" s="74"/>
      <c r="L160" s="74">
        <v>48</v>
      </c>
    </row>
    <row r="161" spans="1:12" x14ac:dyDescent="0.25">
      <c r="A161" s="73" t="s">
        <v>451</v>
      </c>
      <c r="B161" s="74">
        <v>7</v>
      </c>
      <c r="C161" s="74">
        <v>2</v>
      </c>
      <c r="D161" s="74">
        <v>4</v>
      </c>
      <c r="E161" s="74">
        <v>23</v>
      </c>
      <c r="F161" s="74">
        <v>1</v>
      </c>
      <c r="G161" s="74"/>
      <c r="H161" s="74">
        <v>5</v>
      </c>
      <c r="I161" s="74">
        <v>2</v>
      </c>
      <c r="J161" s="74"/>
      <c r="K161" s="74"/>
      <c r="L161" s="74">
        <v>44</v>
      </c>
    </row>
    <row r="162" spans="1:12" x14ac:dyDescent="0.25">
      <c r="A162" s="73" t="s">
        <v>554</v>
      </c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</row>
    <row r="163" spans="1:12" x14ac:dyDescent="0.25">
      <c r="A163" s="73" t="s">
        <v>561</v>
      </c>
      <c r="B163" s="74"/>
      <c r="C163" s="74"/>
      <c r="D163" s="74">
        <v>6</v>
      </c>
      <c r="E163" s="74"/>
      <c r="F163" s="74"/>
      <c r="G163" s="74"/>
      <c r="H163" s="74"/>
      <c r="I163" s="74">
        <v>1</v>
      </c>
      <c r="J163" s="74"/>
      <c r="K163" s="74"/>
      <c r="L163" s="74">
        <v>7</v>
      </c>
    </row>
    <row r="164" spans="1:12" x14ac:dyDescent="0.25">
      <c r="A164" s="73" t="s">
        <v>282</v>
      </c>
      <c r="B164" s="74"/>
      <c r="C164" s="74"/>
      <c r="D164" s="74">
        <v>6</v>
      </c>
      <c r="E164" s="74"/>
      <c r="F164" s="74"/>
      <c r="G164" s="74"/>
      <c r="H164" s="74"/>
      <c r="I164" s="74">
        <v>1</v>
      </c>
      <c r="J164" s="74"/>
      <c r="K164" s="74"/>
      <c r="L164" s="74">
        <v>7</v>
      </c>
    </row>
    <row r="165" spans="1:12" x14ac:dyDescent="0.25">
      <c r="A165" s="73" t="s">
        <v>563</v>
      </c>
      <c r="B165" s="74"/>
      <c r="C165" s="74"/>
      <c r="D165" s="74">
        <v>6</v>
      </c>
      <c r="E165" s="74"/>
      <c r="F165" s="74"/>
      <c r="G165" s="74"/>
      <c r="H165" s="74"/>
      <c r="I165" s="74">
        <v>1</v>
      </c>
      <c r="J165" s="74"/>
      <c r="K165" s="74"/>
      <c r="L165" s="74">
        <v>7</v>
      </c>
    </row>
    <row r="166" spans="1:12" x14ac:dyDescent="0.25">
      <c r="A166" s="73" t="s">
        <v>237</v>
      </c>
      <c r="B166" s="74"/>
      <c r="C166" s="74"/>
      <c r="D166" s="74">
        <v>6</v>
      </c>
      <c r="E166" s="74"/>
      <c r="F166" s="74"/>
      <c r="G166" s="74"/>
      <c r="H166" s="74"/>
      <c r="I166" s="74">
        <v>1</v>
      </c>
      <c r="J166" s="74"/>
      <c r="K166" s="74"/>
      <c r="L166" s="74">
        <v>7</v>
      </c>
    </row>
    <row r="167" spans="1:12" x14ac:dyDescent="0.25">
      <c r="A167" s="73" t="s">
        <v>562</v>
      </c>
      <c r="B167" s="74"/>
      <c r="C167" s="74"/>
      <c r="D167" s="74">
        <v>6</v>
      </c>
      <c r="E167" s="74"/>
      <c r="F167" s="74"/>
      <c r="G167" s="74"/>
      <c r="H167" s="74"/>
      <c r="I167" s="74">
        <v>1</v>
      </c>
      <c r="J167" s="74"/>
      <c r="K167" s="74"/>
      <c r="L167" s="74">
        <v>7</v>
      </c>
    </row>
    <row r="168" spans="1:12" x14ac:dyDescent="0.25">
      <c r="A168" s="73" t="s">
        <v>259</v>
      </c>
      <c r="B168" s="74"/>
      <c r="C168" s="74"/>
      <c r="D168" s="74"/>
      <c r="E168" s="74"/>
      <c r="F168" s="74"/>
      <c r="G168" s="74">
        <v>7</v>
      </c>
      <c r="H168" s="74"/>
      <c r="I168" s="74"/>
      <c r="J168" s="74"/>
      <c r="K168" s="74"/>
      <c r="L168" s="74">
        <v>7</v>
      </c>
    </row>
    <row r="169" spans="1:12" x14ac:dyDescent="0.25">
      <c r="A169" s="73" t="s">
        <v>564</v>
      </c>
      <c r="B169" s="74"/>
      <c r="C169" s="74"/>
      <c r="D169" s="74">
        <v>7</v>
      </c>
      <c r="E169" s="74"/>
      <c r="F169" s="74"/>
      <c r="G169" s="74"/>
      <c r="H169" s="74"/>
      <c r="I169" s="74"/>
      <c r="J169" s="74"/>
      <c r="K169" s="74"/>
      <c r="L169" s="74">
        <v>7</v>
      </c>
    </row>
    <row r="170" spans="1:12" x14ac:dyDescent="0.25">
      <c r="A170" s="73" t="s">
        <v>217</v>
      </c>
      <c r="B170" s="74"/>
      <c r="C170" s="74"/>
      <c r="D170" s="74">
        <v>7</v>
      </c>
      <c r="E170" s="74"/>
      <c r="F170" s="74"/>
      <c r="G170" s="74"/>
      <c r="H170" s="74"/>
      <c r="I170" s="74"/>
      <c r="J170" s="74"/>
      <c r="K170" s="74"/>
      <c r="L170" s="74">
        <v>7</v>
      </c>
    </row>
    <row r="171" spans="1:12" x14ac:dyDescent="0.25">
      <c r="A171" s="73" t="s">
        <v>307</v>
      </c>
      <c r="B171" s="74"/>
      <c r="C171" s="74"/>
      <c r="D171" s="74">
        <v>7</v>
      </c>
      <c r="E171" s="74"/>
      <c r="F171" s="74"/>
      <c r="G171" s="74"/>
      <c r="H171" s="74"/>
      <c r="I171" s="74"/>
      <c r="J171" s="74"/>
      <c r="K171" s="74"/>
      <c r="L171" s="74">
        <v>7</v>
      </c>
    </row>
    <row r="172" spans="1:12" x14ac:dyDescent="0.25">
      <c r="A172" s="73" t="s">
        <v>268</v>
      </c>
      <c r="B172" s="74"/>
      <c r="C172" s="74"/>
      <c r="D172" s="74">
        <v>7</v>
      </c>
      <c r="E172" s="74"/>
      <c r="F172" s="74"/>
      <c r="G172" s="74"/>
      <c r="H172" s="74"/>
      <c r="I172" s="74"/>
      <c r="J172" s="74"/>
      <c r="K172" s="74"/>
      <c r="L172" s="74">
        <v>7</v>
      </c>
    </row>
    <row r="173" spans="1:12" x14ac:dyDescent="0.25">
      <c r="A173" s="73" t="s">
        <v>567</v>
      </c>
      <c r="B173" s="74"/>
      <c r="C173" s="74"/>
      <c r="D173" s="74">
        <v>7</v>
      </c>
      <c r="E173" s="74"/>
      <c r="F173" s="74"/>
      <c r="G173" s="74"/>
      <c r="H173" s="74"/>
      <c r="I173" s="74"/>
      <c r="J173" s="74"/>
      <c r="K173" s="74"/>
      <c r="L173" s="74">
        <v>7</v>
      </c>
    </row>
    <row r="174" spans="1:12" x14ac:dyDescent="0.25">
      <c r="A174" s="73" t="s">
        <v>565</v>
      </c>
      <c r="B174" s="74"/>
      <c r="C174" s="74"/>
      <c r="D174" s="74">
        <v>7</v>
      </c>
      <c r="E174" s="74"/>
      <c r="F174" s="74"/>
      <c r="G174" s="74"/>
      <c r="H174" s="74"/>
      <c r="I174" s="74"/>
      <c r="J174" s="74"/>
      <c r="K174" s="74"/>
      <c r="L174" s="74">
        <v>7</v>
      </c>
    </row>
    <row r="175" spans="1:12" x14ac:dyDescent="0.25">
      <c r="A175" s="73" t="s">
        <v>235</v>
      </c>
      <c r="B175" s="74">
        <v>4</v>
      </c>
      <c r="C175" s="74">
        <v>2</v>
      </c>
      <c r="D175" s="74"/>
      <c r="E175" s="74"/>
      <c r="F175" s="74">
        <v>1</v>
      </c>
      <c r="G175" s="74"/>
      <c r="H175" s="74"/>
      <c r="I175" s="74"/>
      <c r="J175" s="74"/>
      <c r="K175" s="74"/>
      <c r="L175" s="74">
        <v>7</v>
      </c>
    </row>
    <row r="176" spans="1:12" x14ac:dyDescent="0.25">
      <c r="A176" s="73" t="s">
        <v>309</v>
      </c>
      <c r="B176" s="74">
        <v>4</v>
      </c>
      <c r="C176" s="74">
        <v>2</v>
      </c>
      <c r="D176" s="74"/>
      <c r="E176" s="74"/>
      <c r="F176" s="74">
        <v>1</v>
      </c>
      <c r="G176" s="74"/>
      <c r="H176" s="74"/>
      <c r="I176" s="74"/>
      <c r="J176" s="74"/>
      <c r="K176" s="74"/>
      <c r="L176" s="74">
        <v>7</v>
      </c>
    </row>
    <row r="177" spans="1:12" x14ac:dyDescent="0.25">
      <c r="A177" s="73" t="s">
        <v>238</v>
      </c>
      <c r="B177" s="74">
        <v>5</v>
      </c>
      <c r="C177" s="74">
        <v>1</v>
      </c>
      <c r="D177" s="74"/>
      <c r="E177" s="74"/>
      <c r="F177" s="74">
        <v>1</v>
      </c>
      <c r="G177" s="74"/>
      <c r="H177" s="74"/>
      <c r="I177" s="74"/>
      <c r="J177" s="74"/>
      <c r="K177" s="74"/>
      <c r="L177" s="74">
        <v>7</v>
      </c>
    </row>
    <row r="178" spans="1:12" x14ac:dyDescent="0.25">
      <c r="A178" s="73" t="s">
        <v>555</v>
      </c>
      <c r="B178" s="74">
        <v>753</v>
      </c>
      <c r="C178" s="74">
        <v>214</v>
      </c>
      <c r="D178" s="74">
        <v>924</v>
      </c>
      <c r="E178" s="74">
        <v>1515</v>
      </c>
      <c r="F178" s="74">
        <v>94</v>
      </c>
      <c r="G178" s="74">
        <v>427</v>
      </c>
      <c r="H178" s="74">
        <v>3089</v>
      </c>
      <c r="I178" s="74">
        <v>376</v>
      </c>
      <c r="J178" s="74"/>
      <c r="K178" s="74">
        <v>4</v>
      </c>
      <c r="L178" s="74">
        <v>7396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C1969F0DFB21419E867C8F2E8ABD63" ma:contentTypeVersion="16" ma:contentTypeDescription="Create a new document." ma:contentTypeScope="" ma:versionID="1b40a20cdf95cd368bcba68b97c1171c">
  <xsd:schema xmlns:xsd="http://www.w3.org/2001/XMLSchema" xmlns:xs="http://www.w3.org/2001/XMLSchema" xmlns:p="http://schemas.microsoft.com/office/2006/metadata/properties" xmlns:ns3="bd95af69-641a-4e65-8484-f11b6cea88ff" xmlns:ns4="689e262f-3dd3-481d-a010-b63679dfb19e" targetNamespace="http://schemas.microsoft.com/office/2006/metadata/properties" ma:root="true" ma:fieldsID="17d92aa2b70b080574dd7b9eef1d9441" ns3:_="" ns4:_="">
    <xsd:import namespace="bd95af69-641a-4e65-8484-f11b6cea88ff"/>
    <xsd:import namespace="689e262f-3dd3-481d-a010-b63679dfb19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LengthInSecond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95af69-641a-4e65-8484-f11b6cea88f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9e262f-3dd3-481d-a010-b63679dfb19e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d95af69-641a-4e65-8484-f11b6cea88ff" xsi:nil="true"/>
  </documentManagement>
</p:properties>
</file>

<file path=customXml/itemProps1.xml><?xml version="1.0" encoding="utf-8"?>
<ds:datastoreItem xmlns:ds="http://schemas.openxmlformats.org/officeDocument/2006/customXml" ds:itemID="{D28DAC72-1970-4563-A7B2-B65C1376D5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95af69-641a-4e65-8484-f11b6cea88ff"/>
    <ds:schemaRef ds:uri="689e262f-3dd3-481d-a010-b63679dfb1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90279CD-5B91-4EE7-9275-6ECD9F62DE8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B516F51-42D4-4F48-A3EA-81470AF8705D}">
  <ds:schemaRefs>
    <ds:schemaRef ds:uri="http://purl.org/dc/terms/"/>
    <ds:schemaRef ds:uri="http://schemas.microsoft.com/office/2006/metadata/properties"/>
    <ds:schemaRef ds:uri="689e262f-3dd3-481d-a010-b63679dfb19e"/>
    <ds:schemaRef ds:uri="http://purl.org/dc/dcmitype/"/>
    <ds:schemaRef ds:uri="http://schemas.microsoft.com/office/2006/documentManagement/types"/>
    <ds:schemaRef ds:uri="http://purl.org/dc/elements/1.1/"/>
    <ds:schemaRef ds:uri="http://www.w3.org/XML/1998/namespace"/>
    <ds:schemaRef ds:uri="bd95af69-641a-4e65-8484-f11b6cea88ff"/>
    <ds:schemaRef ds:uri="http://schemas.openxmlformats.org/package/2006/metadata/core-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Import</vt:lpstr>
      <vt:lpstr>Création</vt:lpstr>
      <vt:lpstr>Planning SO</vt:lpstr>
      <vt:lpstr>Planning LO</vt:lpstr>
      <vt:lpstr>Plan AM + Day</vt:lpstr>
      <vt:lpstr>Plan PM</vt:lpstr>
      <vt:lpstr>Technical</vt:lpstr>
      <vt:lpstr>Historique</vt:lpstr>
      <vt:lpstr>Formule AM + Day</vt:lpstr>
      <vt:lpstr>Formule PM</vt:lpstr>
      <vt:lpstr>Sheet7</vt:lpstr>
      <vt:lpstr>chkMixZones</vt:lpstr>
      <vt:lpstr>chkShowNames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Pirson</dc:creator>
  <cp:lastModifiedBy>Julien Pirson</cp:lastModifiedBy>
  <cp:lastPrinted>2026-06-08T12:14:29Z</cp:lastPrinted>
  <dcterms:created xsi:type="dcterms:W3CDTF">2026-05-21T04:44:52Z</dcterms:created>
  <dcterms:modified xsi:type="dcterms:W3CDTF">2026-06-08T12:30:42Z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0x010100E1C1969F0DFB21419E867C8F2E8ABD63</vt:lpwstr>
  </property>
</Properties>
</file>